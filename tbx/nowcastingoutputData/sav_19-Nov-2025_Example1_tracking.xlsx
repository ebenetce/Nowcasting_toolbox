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5D6AFB4E-569B-4592-B4DD-67559F284319}"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F20" i="21"/>
  <c r="F19" i="21"/>
  <c r="U18" i="21"/>
  <c r="J18" i="21"/>
  <c r="F18" i="21"/>
  <c r="F17" i="21"/>
  <c r="U17" i="21" s="1"/>
  <c r="U16" i="21"/>
  <c r="F16" i="21"/>
  <c r="F15" i="21"/>
  <c r="U15" i="21" s="1"/>
  <c r="F14" i="21"/>
  <c r="U14" i="21" s="1"/>
  <c r="F13" i="21"/>
  <c r="U13" i="21" s="1"/>
  <c r="F12" i="21"/>
  <c r="U12" i="21" s="1"/>
  <c r="F11" i="21"/>
  <c r="U11" i="21" s="1"/>
  <c r="F10" i="21"/>
  <c r="U10" i="21" s="1"/>
  <c r="F9" i="21"/>
  <c r="U9" i="21" s="1"/>
  <c r="L2" i="21"/>
  <c r="I2" i="21"/>
  <c r="J20" i="21" a="1"/>
  <c r="J19" i="21" a="1"/>
  <c r="L77" i="23"/>
  <c r="M77" i="23"/>
  <c r="H79" i="23" a="1"/>
  <c r="K77" i="23"/>
  <c r="J77" i="23"/>
  <c r="H80" i="23" a="1"/>
  <c r="J20" i="21" l="1"/>
  <c r="J19" i="21"/>
  <c r="H79" i="23"/>
  <c r="H80" i="23"/>
  <c r="U19" i="21"/>
  <c r="U20" i="21"/>
  <c r="M80" i="23"/>
  <c r="J80" i="23"/>
  <c r="L19" i="21" a="1"/>
  <c r="I20" i="21" a="1"/>
  <c r="L80" i="23"/>
  <c r="I19" i="21" a="1"/>
  <c r="K19" i="21" a="1"/>
  <c r="L20" i="21" a="1"/>
  <c r="K80" i="23"/>
  <c r="K20" i="21" a="1"/>
  <c r="I19" i="21" l="1"/>
  <c r="L20" i="21"/>
  <c r="I20" i="21"/>
  <c r="K20" i="21"/>
  <c r="K19" i="21"/>
  <c r="L19" i="21"/>
  <c r="Y19" i="21"/>
  <c r="X19" i="21"/>
  <c r="W19" i="21"/>
  <c r="AA19" i="21"/>
  <c r="V19" i="21"/>
  <c r="Z19" i="21"/>
  <c r="Y20" i="21"/>
  <c r="X20" i="21"/>
  <c r="W20" i="21"/>
  <c r="V20" i="21"/>
  <c r="Z20" i="21"/>
  <c r="AA20"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<sst xmlns="http://schemas.openxmlformats.org/spreadsheetml/2006/main" count="452" uniqueCount="124">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</sst>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501022370067448E-2"/>
      </font>
      <fill>
        <patternFill>
          <bgColor theme="0" tint="-4.9501022370067448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9501022370067448E-2"/>
      </font>
      <fill>
        <patternFill>
          <bgColor theme="0" tint="-4.9501022370067448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0.82672504676120107</c:v>
                </c:pt>
                <c:pt idx="4" formatCode="0.0">
                  <c:v>0.22571416849384376</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0.87804228904212733</c:v>
                </c:pt>
                <c:pt idx="4" formatCode="0.0">
                  <c:v>-0.32460874104548393</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0.62444440633306919</c:v>
                </c:pt>
                <c:pt idx="4" formatCode="0.0">
                  <c:v>5.9617495621359207E-2</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0.90138845728400896</c:v>
                </c:pt>
                <c:pt idx="4" formatCode="0.0">
                  <c:v>-0.25673332577700197</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0.72019296039287317</c:v>
                </c:pt>
                <c:pt idx="4" formatCode="0.0">
                  <c:v>0.36013968905182459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-0.17334162472075348</c:v>
                </c:pt>
                <c:pt idx="4" formatCode="0.0">
                  <c:v>7.2970363056185483E-2</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0.82672504676120107</v>
      </c>
      <c r="W19" s="107">
        <f>VLOOKUP(W$2,Range!$A$2:$C$22,MATCH($U19,Range!$A$1:$C$1,0),FALSE)</f>
        <v>0.87804228904212733</v>
      </c>
      <c r="X19" s="107">
        <f>VLOOKUP(X$2,Range!$A$2:$C$22,MATCH($U19,Range!$A$1:$C$1,0),FALSE)</f>
        <v>0.62444440633306919</v>
      </c>
      <c r="Y19" s="107">
        <f>VLOOKUP(Y$2,Range!$A$2:$C$22,MATCH($U19,Range!$A$1:$C$1,0),FALSE)</f>
        <v>0.90138845728400896</v>
      </c>
      <c r="Z19" s="107">
        <f>VLOOKUP(Z$2,Range!$A$2:$C$22,MATCH($U19,Range!$A$1:$C$1,0),FALSE)</f>
        <v>0.72019296039287317</v>
      </c>
      <c r="AA19" s="107">
        <f>VLOOKUP(AA$2,Range!$A$2:$C$22,MATCH($U19,Range!$A$1:$C$1,0),FALSE)</f>
        <v>-0.17334162472075348</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0.22571416849384376</v>
      </c>
      <c r="W20" s="107">
        <f>VLOOKUP(W$2,Range!$A$2:$C$22,MATCH($U20,Range!$A$1:$C$1,0),FALSE)</f>
        <v>-0.32460874104548393</v>
      </c>
      <c r="X20" s="107">
        <f>VLOOKUP(X$2,Range!$A$2:$C$22,MATCH($U20,Range!$A$1:$C$1,0),FALSE)</f>
        <v>5.9617495621359207E-2</v>
      </c>
      <c r="Y20" s="107">
        <f>VLOOKUP(Y$2,Range!$A$2:$C$22,MATCH($U20,Range!$A$1:$C$1,0),FALSE)</f>
        <v>-0.25673332577700197</v>
      </c>
      <c r="Z20" s="107">
        <f>VLOOKUP(Z$2,Range!$A$2:$C$22,MATCH($U20,Range!$A$1:$C$1,0),FALSE)</f>
        <v>0.36013968905182459</v>
      </c>
      <c r="AA20" s="107">
        <f>VLOOKUP(AA$2,Range!$A$2:$C$22,MATCH($U20,Range!$A$1:$C$1,0),FALSE)</f>
        <v>7.2970363056185483E-2</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0.82672504676120107</v>
      </c>
      <c r="C2">
        <v>0.22571416849384376</v>
      </c>
    </row>
    <row r="3" spans="1:3" x14ac:dyDescent="0.4">
      <c r="A3" t="s">
        <v>93</v>
      </c>
      <c r="B3">
        <v>0.87804228904212733</v>
      </c>
      <c r="C3">
        <v>-0.32460874104548393</v>
      </c>
    </row>
    <row r="4" spans="1:3" x14ac:dyDescent="0.4">
      <c r="A4" t="s">
        <v>94</v>
      </c>
      <c r="B4">
        <v>0.62444440633306919</v>
      </c>
      <c r="C4">
        <v>5.9617495621359207E-2</v>
      </c>
    </row>
    <row r="5" spans="1:3" x14ac:dyDescent="0.4">
      <c r="A5" t="s">
        <v>95</v>
      </c>
      <c r="B5">
        <v>0.90138845728400896</v>
      </c>
      <c r="C5">
        <v>-0.25673332577700197</v>
      </c>
    </row>
    <row r="6" spans="1:3" x14ac:dyDescent="0.4">
      <c r="A6" t="s">
        <v>96</v>
      </c>
      <c r="B6">
        <v>0.72019296039287317</v>
      </c>
      <c r="C6">
        <v>0.36013968905182459</v>
      </c>
    </row>
    <row r="7" spans="1:3" x14ac:dyDescent="0.4">
      <c r="A7" t="s">
        <v>97</v>
      </c>
      <c r="B7">
        <v>-0.17334162472075348</v>
      </c>
      <c r="C7">
        <v>7.2970363056185483E-2</v>
      </c>
    </row>
    <row r="9" spans="1:3" x14ac:dyDescent="0.4">
      <c r="A9" t="s">
        <v>98</v>
      </c>
      <c r="B9">
        <v>-0.17334162472075348</v>
      </c>
      <c r="C9">
        <v>-0.32460874104548393</v>
      </c>
    </row>
    <row r="10" spans="1:3" x14ac:dyDescent="0.4">
      <c r="A10" t="s">
        <v>99</v>
      </c>
      <c r="B10">
        <v>0.90138845728400896</v>
      </c>
      <c r="C10">
        <v>0.36013968905182459</v>
      </c>
    </row>
    <row r="11" spans="1:3" x14ac:dyDescent="0.4">
      <c r="A11" t="s">
        <v>100</v>
      </c>
      <c r="B11">
        <v>0.72946351451194402</v>
      </c>
      <c r="C11">
        <v>0.55540442231971054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I6" sqref="I6:J6"/>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c r="C7" s="45"/>
      <c r="D7" s="45"/>
      <c r="I7" s="1"/>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A6" sqref="A6:K6"/>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c r="C7" s="45"/>
      <c r="D7" s="45"/>
      <c r="I7" s="1"/>
      <c r="AZ7" s="18"/>
      <c r="BA7" s="19"/>
      <c r="BB7" s="18"/>
    </row>
    <row r="8" spans="1:54" x14ac:dyDescent="0.4">
      <c r="A8" s="1"/>
      <c r="C8" s="45"/>
      <c r="D8" s="45"/>
      <c r="I8" s="1"/>
      <c r="AZ8" s="18"/>
      <c r="BA8" s="19"/>
      <c r="BB8" s="18"/>
    </row>
    <row r="9" spans="1:54" x14ac:dyDescent="0.4">
      <c r="A9" s="1"/>
      <c r="C9" s="45"/>
      <c r="D9" s="45"/>
      <c r="I9" s="1"/>
      <c r="AZ9" s="18"/>
      <c r="BA9" s="19"/>
      <c r="BB9" s="18"/>
    </row>
    <row r="10" spans="1:54" x14ac:dyDescent="0.4">
      <c r="A10" s="1"/>
      <c r="C10" s="45"/>
      <c r="D10" s="45"/>
      <c r="I10" s="1"/>
      <c r="AZ10" s="18"/>
      <c r="BA10" s="19"/>
      <c r="BB10" s="18"/>
    </row>
    <row r="11" spans="1:54" x14ac:dyDescent="0.4">
      <c r="A11" s="1"/>
      <c r="C11" s="45"/>
      <c r="D11" s="45"/>
      <c r="I11" s="1"/>
      <c r="AZ11" s="18"/>
      <c r="BA11" s="19"/>
      <c r="BB11" s="18"/>
    </row>
    <row r="12" spans="1:54" x14ac:dyDescent="0.4">
      <c r="A12" s="1"/>
      <c r="C12" s="45"/>
      <c r="D12" s="45"/>
      <c r="I12" s="1"/>
      <c r="AZ12" s="18"/>
      <c r="BA12" s="19"/>
      <c r="BB12" s="18"/>
    </row>
    <row r="13" spans="1:54" x14ac:dyDescent="0.4">
      <c r="A13" s="1"/>
      <c r="C13" s="45"/>
      <c r="D13" s="45"/>
      <c r="I13" s="1"/>
      <c r="AZ13" s="18"/>
      <c r="BA13" s="19"/>
      <c r="BB13" s="18"/>
    </row>
    <row r="14" spans="1:54" x14ac:dyDescent="0.4">
      <c r="A14" s="1"/>
      <c r="C14" s="45"/>
      <c r="D14" s="45"/>
      <c r="I14" s="1"/>
      <c r="AZ14" s="18"/>
      <c r="BA14" s="19"/>
      <c r="BB14" s="18"/>
    </row>
    <row r="15" spans="1:54" x14ac:dyDescent="0.4">
      <c r="A15" s="1"/>
      <c r="C15" s="45"/>
      <c r="D15" s="45"/>
      <c r="I15" s="1"/>
      <c r="AZ15" s="18"/>
      <c r="BA15" s="19"/>
      <c r="BB15" s="18"/>
    </row>
    <row r="16" spans="1:54" x14ac:dyDescent="0.4">
      <c r="A16" s="1"/>
      <c r="C16" s="45"/>
      <c r="D16" s="45"/>
      <c r="AZ16" s="18"/>
      <c r="BA16" s="19"/>
      <c r="BB16" s="18"/>
    </row>
    <row r="17" spans="1:54" x14ac:dyDescent="0.4">
      <c r="A17" s="1"/>
      <c r="C17" s="45"/>
      <c r="D17" s="45"/>
      <c r="I17" s="1"/>
      <c r="AZ17" s="18"/>
      <c r="BA17" s="19"/>
      <c r="BB17" s="18"/>
    </row>
    <row r="18" spans="1:54" x14ac:dyDescent="0.4">
      <c r="A18" s="1"/>
      <c r="C18" s="45"/>
      <c r="D18" s="45"/>
      <c r="I18" s="1"/>
      <c r="AZ18" s="18"/>
      <c r="BA18" s="19"/>
      <c r="BB18" s="18"/>
    </row>
    <row r="19" spans="1:54" x14ac:dyDescent="0.4">
      <c r="A19" s="1"/>
      <c r="C19" s="45"/>
      <c r="D19" s="45"/>
      <c r="I19" s="1"/>
      <c r="AZ19" s="18"/>
      <c r="BA19" s="19"/>
      <c r="BB19" s="18"/>
    </row>
    <row r="20" spans="1:54" x14ac:dyDescent="0.4">
      <c r="AZ20" s="18"/>
      <c r="BA20" s="19"/>
      <c r="BB20" s="18"/>
    </row>
    <row r="21" spans="1:54" x14ac:dyDescent="0.4">
      <c r="AZ21" s="18"/>
      <c r="BA21" s="19"/>
      <c r="BB21" s="18"/>
    </row>
    <row r="22" spans="1:54" x14ac:dyDescent="0.4">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2025-11-19T15:35:28Z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