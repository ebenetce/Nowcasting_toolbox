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B5235D2A-FF13-43DC-A4F1-56B3660794A2}"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F20" i="21"/>
  <c r="F19" i="21"/>
  <c r="U18" i="21"/>
  <c r="J18" i="21"/>
  <c r="F18" i="21"/>
  <c r="F17" i="21"/>
  <c r="U17" i="21" s="1"/>
  <c r="F16" i="21"/>
  <c r="U16" i="21" s="1"/>
  <c r="F15" i="21"/>
  <c r="U15" i="21" s="1"/>
  <c r="U14" i="21"/>
  <c r="F14" i="21"/>
  <c r="F13" i="21"/>
  <c r="U13" i="21" s="1"/>
  <c r="F12" i="21"/>
  <c r="U12" i="21" s="1"/>
  <c r="F11" i="21"/>
  <c r="U11" i="21" s="1"/>
  <c r="U10" i="21"/>
  <c r="F10" i="21"/>
  <c r="F9" i="21"/>
  <c r="U9" i="21" s="1"/>
  <c r="L2" i="21"/>
  <c r="I2" i="21"/>
  <c r="K19" i="21" a="1"/>
  <c r="K77" i="23"/>
  <c r="H79" i="23" a="1"/>
  <c r="J19" i="21" a="1"/>
  <c r="H80" i="23" a="1"/>
  <c r="K20" i="21" a="1"/>
  <c r="M77" i="23"/>
  <c r="J77" i="23"/>
  <c r="J20" i="21" a="1"/>
  <c r="L77" i="23"/>
  <c r="J19" i="21" l="1"/>
  <c r="J20" i="21"/>
  <c r="K19" i="21"/>
  <c r="H79" i="23"/>
  <c r="H80" i="23"/>
  <c r="K20" i="21"/>
  <c r="U19" i="21"/>
  <c r="U20" i="21"/>
  <c r="M80" i="23"/>
  <c r="I20" i="21" a="1"/>
  <c r="L20" i="21" a="1"/>
  <c r="K80" i="23"/>
  <c r="J80" i="23"/>
  <c r="L19" i="21" a="1"/>
  <c r="L80" i="23"/>
  <c r="I19" i="21" a="1"/>
  <c r="I20" i="21" l="1"/>
  <c r="I19" i="21"/>
  <c r="L20" i="21"/>
  <c r="L19" i="21"/>
  <c r="Y20" i="21"/>
  <c r="AA20" i="21"/>
  <c r="X20" i="21"/>
  <c r="W20" i="21"/>
  <c r="V20" i="21"/>
  <c r="Z20" i="21"/>
  <c r="Y19" i="21"/>
  <c r="X19" i="21"/>
  <c r="AA19" i="21"/>
  <c r="W19" i="21"/>
  <c r="V19" i="21"/>
  <c r="Z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<sst xmlns="http://schemas.openxmlformats.org/spreadsheetml/2006/main" count="412" uniqueCount="122">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</sst>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56205938901944E-2"/>
      </font>
      <fill>
        <patternFill>
          <bgColor theme="0" tint="-4.956205938901944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56205938901944E-2"/>
      </font>
      <fill>
        <patternFill>
          <bgColor theme="0" tint="-4.956205938901944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0.82672504676120107</c:v>
                </c:pt>
                <c:pt idx="4" formatCode="0.0">
                  <c:v>0.22571416849384376</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0.87804228904212733</c:v>
                </c:pt>
                <c:pt idx="4" formatCode="0.0">
                  <c:v>-0.32460874104548393</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0.62444440633306919</c:v>
                </c:pt>
                <c:pt idx="4" formatCode="0.0">
                  <c:v>5.9617495621359207E-2</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0.90138845728400896</c:v>
                </c:pt>
                <c:pt idx="4" formatCode="0.0">
                  <c:v>-0.25673332577700197</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0.72019296039287317</c:v>
                </c:pt>
                <c:pt idx="4" formatCode="0.0">
                  <c:v>0.36013968905182459</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0.45209482010343871</c:v>
                </c:pt>
                <c:pt idx="1">
                  <c:v>0.45015550157213075</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2.8376449921840338E-2</c:v>
                </c:pt>
                <c:pt idx="1">
                  <c:v>0.38019416862041899</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8.6643402659127872E-2</c:v>
                </c:pt>
                <c:pt idx="1">
                  <c:v>-1.4203060691281535E-2</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0.24792620324683814</c:v>
                </c:pt>
                <c:pt idx="1">
                  <c:v>0.27173290086617874</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0.81504087593124508</c:v>
                </c:pt>
                <c:pt idx="1">
                  <c:v>1.087879510367447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Contributions!$G$10:$G$22</c:f>
              <c:numCache>
                <c:formatCode>General</c:formatCode>
                <c:ptCount val="13"/>
                <c:pt idx="1">
                  <c:v>-2.5755006870478193E-2</c:v>
                </c:pt>
                <c:pt idx="3">
                  <c:v>5.4296396933380389E-3</c:v>
                </c:pt>
                <c:pt idx="4">
                  <c:v>1.1607703804004957E-2</c:v>
                </c:pt>
                <c:pt idx="6">
                  <c:v>1.6986425883346271E-2</c:v>
                </c:pt>
                <c:pt idx="7">
                  <c:v>2.0107687411629247E-2</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Contributions!$H$10:$H$22</c:f>
              <c:numCache>
                <c:formatCode>General</c:formatCode>
                <c:ptCount val="13"/>
                <c:pt idx="2">
                  <c:v>-1.1188849586744125E-3</c:v>
                </c:pt>
                <c:pt idx="5">
                  <c:v>1.1967413461271472E-2</c:v>
                </c:pt>
                <c:pt idx="8">
                  <c:v>2.7654205856017619E-2</c:v>
                </c:pt>
                <c:pt idx="10">
                  <c:v>4.8140668300513181E-2</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6</c:v>
                </c:pt>
                <c:pt idx="1">
                  <c:v>Full name 10</c:v>
                </c:pt>
                <c:pt idx="2">
                  <c:v>Full name 1</c:v>
                </c:pt>
                <c:pt idx="3">
                  <c:v>Full name 9</c:v>
                </c:pt>
                <c:pt idx="4">
                  <c:v>Full name 12</c:v>
                </c:pt>
                <c:pt idx="5">
                  <c:v>Full name 3</c:v>
                </c:pt>
                <c:pt idx="6">
                  <c:v>Full name target</c:v>
                </c:pt>
                <c:pt idx="7">
                  <c:v>Full name 11</c:v>
                </c:pt>
                <c:pt idx="8">
                  <c:v>Full name 2</c:v>
                </c:pt>
                <c:pt idx="9">
                  <c:v>Full name 7</c:v>
                </c:pt>
                <c:pt idx="10">
                  <c:v>Full name 4</c:v>
                </c:pt>
                <c:pt idx="11">
                  <c:v>Full name 8</c:v>
                </c:pt>
                <c:pt idx="12">
                  <c:v>Full name 5</c:v>
                </c:pt>
              </c:strCache>
            </c:strRef>
          </c:cat>
          <c:val>
            <c:numRef>
              <c:f>Contributions!$I$10:$I$22</c:f>
              <c:numCache>
                <c:formatCode>General</c:formatCode>
                <c:ptCount val="13"/>
                <c:pt idx="0">
                  <c:v>-4.4146831071030346E-2</c:v>
                </c:pt>
                <c:pt idx="9">
                  <c:v>3.5644136573452161E-2</c:v>
                </c:pt>
                <c:pt idx="11">
                  <c:v>5.983759025191171E-2</c:v>
                </c:pt>
                <c:pt idx="12">
                  <c:v>0.19659130749250464</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0.82672504676120107</v>
      </c>
      <c r="W19" s="107">
        <f>VLOOKUP(W$2,Range!$A$2:$C$22,MATCH($U19,Range!$A$1:$C$1,0),FALSE)</f>
        <v>0.87804228904212733</v>
      </c>
      <c r="X19" s="107">
        <f>VLOOKUP(X$2,Range!$A$2:$C$22,MATCH($U19,Range!$A$1:$C$1,0),FALSE)</f>
        <v>0.62444440633306919</v>
      </c>
      <c r="Y19" s="107">
        <f>VLOOKUP(Y$2,Range!$A$2:$C$22,MATCH($U19,Range!$A$1:$C$1,0),FALSE)</f>
        <v>0.90138845728400896</v>
      </c>
      <c r="Z19" s="107">
        <f>VLOOKUP(Z$2,Range!$A$2:$C$22,MATCH($U19,Range!$A$1:$C$1,0),FALSE)</f>
        <v>0.72019296039287317</v>
      </c>
      <c r="AA19" s="107">
        <f>VLOOKUP(AA$2,Range!$A$2:$C$22,MATCH($U19,Range!$A$1:$C$1,0),FALSE)</f>
        <v>-0.17334162472075348</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0.22571416849384376</v>
      </c>
      <c r="W20" s="107">
        <f>VLOOKUP(W$2,Range!$A$2:$C$22,MATCH($U20,Range!$A$1:$C$1,0),FALSE)</f>
        <v>-0.32460874104548393</v>
      </c>
      <c r="X20" s="107">
        <f>VLOOKUP(X$2,Range!$A$2:$C$22,MATCH($U20,Range!$A$1:$C$1,0),FALSE)</f>
        <v>5.9617495621359207E-2</v>
      </c>
      <c r="Y20" s="107">
        <f>VLOOKUP(Y$2,Range!$A$2:$C$22,MATCH($U20,Range!$A$1:$C$1,0),FALSE)</f>
        <v>-0.25673332577700197</v>
      </c>
      <c r="Z20" s="107">
        <f>VLOOKUP(Z$2,Range!$A$2:$C$22,MATCH($U20,Range!$A$1:$C$1,0),FALSE)</f>
        <v>0.36013968905182459</v>
      </c>
      <c r="AA20" s="107">
        <f>VLOOKUP(AA$2,Range!$A$2:$C$22,MATCH($U20,Range!$A$1:$C$1,0),FALSE)</f>
        <v>7.2970363056185483E-2</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0.82672504676120107</v>
      </c>
      <c r="C2">
        <v>0.22571416849384376</v>
      </c>
    </row>
    <row r="3" spans="1:3" x14ac:dyDescent="0.4">
      <c r="A3" t="s">
        <v>93</v>
      </c>
      <c r="B3">
        <v>0.87804228904212733</v>
      </c>
      <c r="C3">
        <v>-0.32460874104548393</v>
      </c>
    </row>
    <row r="4" spans="1:3" x14ac:dyDescent="0.4">
      <c r="A4" t="s">
        <v>94</v>
      </c>
      <c r="B4">
        <v>0.62444440633306919</v>
      </c>
      <c r="C4">
        <v>5.9617495621359207E-2</v>
      </c>
    </row>
    <row r="5" spans="1:3" x14ac:dyDescent="0.4">
      <c r="A5" t="s">
        <v>95</v>
      </c>
      <c r="B5">
        <v>0.90138845728400896</v>
      </c>
      <c r="C5">
        <v>-0.25673332577700197</v>
      </c>
    </row>
    <row r="6" spans="1:3" x14ac:dyDescent="0.4">
      <c r="A6" t="s">
        <v>96</v>
      </c>
      <c r="B6">
        <v>0.72019296039287317</v>
      </c>
      <c r="C6">
        <v>0.36013968905182459</v>
      </c>
    </row>
    <row r="7" spans="1:3" x14ac:dyDescent="0.4">
      <c r="A7" t="s">
        <v>97</v>
      </c>
      <c r="B7">
        <v>-0.17334162472075348</v>
      </c>
      <c r="C7">
        <v>7.2970363056185483E-2</v>
      </c>
    </row>
    <row r="9" spans="1:3" x14ac:dyDescent="0.4">
      <c r="A9" t="s">
        <v>98</v>
      </c>
      <c r="B9">
        <v>-0.17334162472075348</v>
      </c>
      <c r="C9">
        <v>-0.32460874104548393</v>
      </c>
    </row>
    <row r="10" spans="1:3" x14ac:dyDescent="0.4">
      <c r="A10" t="s">
        <v>99</v>
      </c>
      <c r="B10">
        <v>0.90138845728400896</v>
      </c>
      <c r="C10">
        <v>0.36013968905182459</v>
      </c>
    </row>
    <row r="11" spans="1:3" x14ac:dyDescent="0.4">
      <c r="A11" t="s">
        <v>100</v>
      </c>
      <c r="B11">
        <v>0.72946351451194402</v>
      </c>
      <c r="C11">
        <v>0.55540442231971054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0.81504087593124508</v>
      </c>
      <c r="C2">
        <v>1.087879510367447</v>
      </c>
      <c r="P2" s="18"/>
      <c r="Q2" s="67" t="s">
        <v>12</v>
      </c>
      <c r="R2" s="18"/>
    </row>
    <row r="3" spans="1:18" x14ac:dyDescent="0.4">
      <c r="P3" s="18"/>
      <c r="Q3" s="68" t="s">
        <v>52</v>
      </c>
      <c r="R3" s="18"/>
    </row>
    <row r="4" spans="1:18" x14ac:dyDescent="0.4">
      <c r="A4" t="s">
        <v>58</v>
      </c>
      <c r="B4">
        <v>2.8376449921840338E-2</v>
      </c>
      <c r="C4">
        <v>0.38019416862041899</v>
      </c>
      <c r="P4" s="18"/>
      <c r="Q4" s="19"/>
      <c r="R4" s="18"/>
    </row>
    <row r="5" spans="1:18" x14ac:dyDescent="0.4">
      <c r="A5" t="s">
        <v>59</v>
      </c>
      <c r="B5">
        <v>8.6643402659127872E-2</v>
      </c>
      <c r="C5">
        <v>-1.4203060691281535E-2</v>
      </c>
      <c r="P5" s="18"/>
      <c r="Q5" s="19"/>
      <c r="R5" s="18"/>
    </row>
    <row r="6" spans="1:18" x14ac:dyDescent="0.4">
      <c r="A6" t="s">
        <v>60</v>
      </c>
      <c r="B6">
        <v>0.24792620324683814</v>
      </c>
      <c r="C6">
        <v>0.27173290086617874</v>
      </c>
      <c r="P6" s="18"/>
      <c r="Q6" s="19"/>
      <c r="R6" s="18"/>
    </row>
    <row r="7" spans="1:18" x14ac:dyDescent="0.4">
      <c r="A7" t="s">
        <v>61</v>
      </c>
      <c r="B7">
        <v>0.45209482010343871</v>
      </c>
      <c r="C7">
        <v>0.45015550157213075</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68</v>
      </c>
      <c r="B10" s="53">
        <v>-4.4146831071030346E-2</v>
      </c>
      <c r="C10" s="53">
        <v>0.10115482790197605</v>
      </c>
      <c r="D10" s="53" t="s">
        <v>84</v>
      </c>
      <c r="E10" s="53">
        <v>3</v>
      </c>
      <c r="F10" s="53" t="s">
        <v>60</v>
      </c>
      <c r="G10" s="53"/>
      <c r="H10" s="53"/>
      <c r="I10" s="53">
        <v>-4.4146831071030346E-2</v>
      </c>
      <c r="J10" s="53"/>
      <c r="P10" s="18"/>
      <c r="Q10" s="19"/>
      <c r="R10" s="18"/>
    </row>
    <row r="11" spans="1:18" x14ac:dyDescent="0.4">
      <c r="A11" s="105" t="s">
        <v>62</v>
      </c>
      <c r="B11" s="53">
        <v>-2.5755006870478193E-2</v>
      </c>
      <c r="C11" s="53">
        <v>0.30902878478379547</v>
      </c>
      <c r="D11" s="53" t="s">
        <v>78</v>
      </c>
      <c r="E11" s="53">
        <v>1</v>
      </c>
      <c r="F11" s="53" t="s">
        <v>58</v>
      </c>
      <c r="G11" s="53">
        <v>-2.5755006870478193E-2</v>
      </c>
      <c r="H11" s="53"/>
      <c r="I11" s="53"/>
      <c r="J11" s="53"/>
      <c r="P11" s="18"/>
      <c r="Q11" s="19"/>
      <c r="R11" s="18"/>
    </row>
    <row r="12" spans="1:18" x14ac:dyDescent="0.4">
      <c r="A12" s="53" t="s">
        <v>65</v>
      </c>
      <c r="B12" s="53">
        <v>-1.1188849586744125E-3</v>
      </c>
      <c r="C12" s="53">
        <v>-2.3790275046229686E-2</v>
      </c>
      <c r="D12" s="53" t="s">
        <v>81</v>
      </c>
      <c r="E12" s="53">
        <v>2</v>
      </c>
      <c r="F12" s="53" t="s">
        <v>59</v>
      </c>
      <c r="G12" s="53"/>
      <c r="H12" s="53">
        <v>-1.1188849586744125E-3</v>
      </c>
      <c r="I12" s="53"/>
      <c r="J12" s="53"/>
      <c r="P12" s="18"/>
      <c r="Q12" s="19"/>
      <c r="R12" s="18"/>
    </row>
    <row r="13" spans="1:18" x14ac:dyDescent="0.4">
      <c r="A13" s="53" t="s">
        <v>66</v>
      </c>
      <c r="B13" s="53">
        <v>5.4296396933380389E-3</v>
      </c>
      <c r="C13" s="53">
        <v>1.747663077114564E-2</v>
      </c>
      <c r="D13" s="53" t="s">
        <v>82</v>
      </c>
      <c r="E13" s="53">
        <v>1</v>
      </c>
      <c r="F13" s="53" t="s">
        <v>58</v>
      </c>
      <c r="G13" s="53">
        <v>5.4296396933380389E-3</v>
      </c>
      <c r="H13" s="53"/>
      <c r="I13" s="53"/>
      <c r="J13" s="53"/>
      <c r="P13" s="18"/>
      <c r="Q13" s="19"/>
      <c r="R13" s="18"/>
    </row>
    <row r="14" spans="1:18" x14ac:dyDescent="0.4">
      <c r="A14" s="53" t="s">
        <v>67</v>
      </c>
      <c r="B14" s="53">
        <v>1.1607703804004957E-2</v>
      </c>
      <c r="C14" s="53">
        <v>7.9541727230859699E-2</v>
      </c>
      <c r="D14" s="53" t="s">
        <v>83</v>
      </c>
      <c r="E14" s="53">
        <v>1</v>
      </c>
      <c r="F14" s="53" t="s">
        <v>58</v>
      </c>
      <c r="G14" s="53">
        <v>1.1607703804004957E-2</v>
      </c>
      <c r="H14" s="53"/>
      <c r="I14" s="53"/>
      <c r="J14" s="53"/>
      <c r="P14" s="18"/>
      <c r="Q14" s="19"/>
      <c r="R14" s="18"/>
    </row>
    <row r="15" spans="1:18" x14ac:dyDescent="0.4">
      <c r="A15" s="53" t="s">
        <v>71</v>
      </c>
      <c r="B15" s="53">
        <v>1.1967413461271472E-2</v>
      </c>
      <c r="C15" s="53">
        <v>-4.3273558507826458E-2</v>
      </c>
      <c r="D15" s="53" t="s">
        <v>87</v>
      </c>
      <c r="E15" s="53">
        <v>2</v>
      </c>
      <c r="F15" s="53" t="s">
        <v>59</v>
      </c>
      <c r="G15" s="53"/>
      <c r="H15" s="53">
        <v>1.1967413461271472E-2</v>
      </c>
      <c r="I15" s="53"/>
      <c r="J15" s="53"/>
      <c r="P15" s="18"/>
      <c r="Q15" s="19"/>
      <c r="R15" s="18"/>
    </row>
    <row r="16" spans="1:18" x14ac:dyDescent="0.4">
      <c r="A16" s="53" t="s">
        <v>69</v>
      </c>
      <c r="B16" s="53">
        <v>1.6986425883346271E-2</v>
      </c>
      <c r="C16" s="53">
        <v>-1.639001027954083E-3</v>
      </c>
      <c r="D16" s="53" t="s">
        <v>85</v>
      </c>
      <c r="E16" s="53">
        <v>1</v>
      </c>
      <c r="F16" s="53" t="s">
        <v>58</v>
      </c>
      <c r="G16" s="53">
        <v>1.6986425883346271E-2</v>
      </c>
      <c r="H16" s="53"/>
      <c r="I16" s="53"/>
      <c r="J16" s="53"/>
      <c r="P16" s="18"/>
      <c r="Q16" s="19"/>
      <c r="R16" s="18"/>
    </row>
    <row r="17" spans="1:18" x14ac:dyDescent="0.4">
      <c r="A17" s="53" t="s">
        <v>63</v>
      </c>
      <c r="B17" s="53">
        <v>2.0107687411629247E-2</v>
      </c>
      <c r="C17" s="53">
        <v>-2.4213973137427718E-2</v>
      </c>
      <c r="D17" s="53" t="s">
        <v>79</v>
      </c>
      <c r="E17" s="53">
        <v>1</v>
      </c>
      <c r="F17" s="53" t="s">
        <v>58</v>
      </c>
      <c r="G17" s="53">
        <v>2.0107687411629247E-2</v>
      </c>
      <c r="H17" s="53"/>
      <c r="I17" s="53"/>
      <c r="J17" s="53"/>
      <c r="P17" s="18"/>
      <c r="Q17" s="19"/>
      <c r="R17" s="18"/>
    </row>
    <row r="18" spans="1:18" x14ac:dyDescent="0.4">
      <c r="A18" s="53" t="s">
        <v>64</v>
      </c>
      <c r="B18" s="53">
        <v>2.7654205856017619E-2</v>
      </c>
      <c r="C18" s="53">
        <v>-1.8437611663508775E-2</v>
      </c>
      <c r="D18" s="53" t="s">
        <v>80</v>
      </c>
      <c r="E18" s="53">
        <v>2</v>
      </c>
      <c r="F18" s="53" t="s">
        <v>59</v>
      </c>
      <c r="G18" s="53"/>
      <c r="H18" s="53">
        <v>2.7654205856017619E-2</v>
      </c>
      <c r="I18" s="53"/>
      <c r="J18" s="53"/>
      <c r="P18" s="18"/>
      <c r="Q18" s="19"/>
      <c r="R18" s="18"/>
    </row>
    <row r="19" spans="1:18" x14ac:dyDescent="0.4">
      <c r="A19" s="105" t="s">
        <v>73</v>
      </c>
      <c r="B19" s="53">
        <v>3.5644136573452161E-2</v>
      </c>
      <c r="C19" s="53">
        <v>1.4431167364731644E-2</v>
      </c>
      <c r="D19" s="53" t="s">
        <v>89</v>
      </c>
      <c r="E19" s="53">
        <v>3</v>
      </c>
      <c r="F19" s="53" t="s">
        <v>60</v>
      </c>
      <c r="G19" s="53"/>
      <c r="H19" s="53"/>
      <c r="I19" s="53">
        <v>3.5644136573452161E-2</v>
      </c>
      <c r="J19" s="53"/>
      <c r="P19" s="18"/>
      <c r="Q19" s="19"/>
      <c r="R19" s="18"/>
    </row>
    <row r="20" spans="1:18" x14ac:dyDescent="0.4">
      <c r="A20" s="53" t="s">
        <v>70</v>
      </c>
      <c r="B20" s="53">
        <v>4.8140668300513181E-2</v>
      </c>
      <c r="C20" s="53">
        <v>7.129838452628337E-2</v>
      </c>
      <c r="D20" s="53" t="s">
        <v>86</v>
      </c>
      <c r="E20" s="53">
        <v>2</v>
      </c>
      <c r="F20" s="53" t="s">
        <v>59</v>
      </c>
      <c r="G20" s="53"/>
      <c r="H20" s="53">
        <v>4.8140668300513181E-2</v>
      </c>
      <c r="I20" s="53"/>
      <c r="J20" s="53"/>
      <c r="P20" s="18"/>
      <c r="Q20" s="19"/>
      <c r="R20" s="18"/>
    </row>
    <row r="21" spans="1:18" x14ac:dyDescent="0.4">
      <c r="A21" s="53" t="s">
        <v>72</v>
      </c>
      <c r="B21" s="53">
        <v>5.983759025191171E-2</v>
      </c>
      <c r="C21" s="53">
        <v>-1.3550338050157093E-3</v>
      </c>
      <c r="D21" s="53" t="s">
        <v>88</v>
      </c>
      <c r="E21" s="53">
        <v>3</v>
      </c>
      <c r="F21" s="53" t="s">
        <v>60</v>
      </c>
      <c r="G21" s="53"/>
      <c r="H21" s="53"/>
      <c r="I21" s="53">
        <v>5.983759025191171E-2</v>
      </c>
      <c r="J21" s="53"/>
      <c r="P21" s="18"/>
      <c r="Q21" s="19"/>
      <c r="R21" s="18"/>
    </row>
    <row r="22" spans="1:18" x14ac:dyDescent="0.4">
      <c r="A22" s="53" t="s">
        <v>74</v>
      </c>
      <c r="B22" s="53">
        <v>0.19659130749250464</v>
      </c>
      <c r="C22" s="53">
        <v>0.15750193940448665</v>
      </c>
      <c r="D22" s="53" t="s">
        <v>90</v>
      </c>
      <c r="E22" s="53">
        <v>3</v>
      </c>
      <c r="F22" s="53" t="s">
        <v>60</v>
      </c>
      <c r="G22" s="53"/>
      <c r="H22" s="53"/>
      <c r="I22" s="53">
        <v>0.19659130749250464</v>
      </c>
      <c r="J22" s="53"/>
      <c r="P22" s="18"/>
      <c r="Q22" s="19"/>
      <c r="R22" s="18"/>
    </row>
    <row r="23" spans="1:18" x14ac:dyDescent="0.4">
      <c r="A23" s="53" t="s">
        <v>61</v>
      </c>
      <c r="B23" s="53">
        <v>0.45209482010343871</v>
      </c>
      <c r="C23" s="53">
        <v>0.45015550157213075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I5" sqref="I5:J5"/>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c r="C6" s="45"/>
      <c r="D6" s="45"/>
      <c r="I6" s="1"/>
      <c r="AZ6" s="18"/>
      <c r="BA6" s="19"/>
      <c r="BB6" s="18"/>
    </row>
    <row r="7" spans="1:54" x14ac:dyDescent="0.4">
      <c r="A7" s="1"/>
      <c r="C7" s="45"/>
      <c r="D7" s="45"/>
      <c r="I7" s="1"/>
      <c r="AZ7" s="18"/>
      <c r="BA7" s="19"/>
      <c r="BB7" s="18"/>
    </row>
    <row r="8" spans="1:54" x14ac:dyDescent="0.4">
      <c r="A8" s="1"/>
      <c r="C8" s="45"/>
      <c r="D8" s="45"/>
      <c r="I8" s="1"/>
      <c r="AZ8" s="18"/>
      <c r="BA8" s="19"/>
      <c r="BB8" s="18"/>
    </row>
    <row r="9" spans="1:54" x14ac:dyDescent="0.4">
      <c r="A9" s="1"/>
      <c r="C9" s="45"/>
      <c r="D9" s="45"/>
      <c r="I9" s="1"/>
      <c r="AZ9" s="18"/>
      <c r="BA9" s="19"/>
      <c r="BB9" s="18"/>
    </row>
    <row r="10" spans="1:54" x14ac:dyDescent="0.4">
      <c r="A10" s="1"/>
      <c r="C10" s="45"/>
      <c r="D10" s="45"/>
      <c r="I10" s="1"/>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A5" sqref="A5:K5"/>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c r="C6" s="45"/>
      <c r="D6" s="45"/>
      <c r="I6" s="1"/>
      <c r="AZ6" s="18"/>
      <c r="BA6" s="19"/>
      <c r="BB6" s="18"/>
    </row>
    <row r="7" spans="1:54" x14ac:dyDescent="0.4">
      <c r="A7" s="1"/>
      <c r="C7" s="45"/>
      <c r="D7" s="45"/>
      <c r="I7" s="1"/>
      <c r="AZ7" s="18"/>
      <c r="BA7" s="19"/>
      <c r="BB7" s="18"/>
    </row>
    <row r="8" spans="1:54" x14ac:dyDescent="0.4">
      <c r="A8" s="1"/>
      <c r="C8" s="45"/>
      <c r="D8" s="45"/>
      <c r="I8" s="1"/>
      <c r="AZ8" s="18"/>
      <c r="BA8" s="19"/>
      <c r="BB8" s="18"/>
    </row>
    <row r="9" spans="1:54" x14ac:dyDescent="0.4">
      <c r="A9" s="1"/>
      <c r="C9" s="45"/>
      <c r="D9" s="45"/>
      <c r="I9" s="1"/>
      <c r="AZ9" s="18"/>
      <c r="BA9" s="19"/>
      <c r="BB9" s="18"/>
    </row>
    <row r="10" spans="1:54" x14ac:dyDescent="0.4">
      <c r="A10" s="1"/>
      <c r="C10" s="45"/>
      <c r="D10" s="45"/>
      <c r="I10" s="1"/>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2025-11-18T18:42:26Z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