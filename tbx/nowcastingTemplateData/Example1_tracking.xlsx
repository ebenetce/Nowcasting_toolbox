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124226"/>
  <xr:revisionPtr revIDLastSave="0" documentId="13_ncr:1_{51B2E379-176D-45B4-9B82-C0402FF19FBC}" xr6:coauthVersionLast="47" xr6:coauthVersionMax="47" xr10:uidLastSave="{00000000-0000-0000-0000-000000000000}"/>
  <bookViews>
    <workbookView xWindow="-103" yWindow="-103" windowWidth="33120" windowHeight="18000" activeTab="3" xr2:uid="{00000000-000D-0000-FFFF-FFFF00000000}"/>
  </bookViews>
  <sheets>
    <sheet name="Readme" sheetId="20" r:id="rId1"/>
    <sheet name="FAME Persistence2" sheetId="22" state="veryHidden" r:id="rId2"/>
    <sheet name="Main" sheetId="21" r:id="rId3"/>
    <sheet name="Heatmap" sheetId="32" r:id="rId4"/>
    <sheet name="Range" sheetId="33" r:id="rId5"/>
    <sheet name="Contributions" sheetId="23" r:id="rId6"/>
    <sheet name="2023Q3" sheetId="26" r:id="rId7"/>
    <sheet name="2023Q4" sheetId="27" r:id="rId8"/>
  </sheets>
  <definedNames>
    <definedName name="_DLX1.INC">#REF!</definedName>
    <definedName name="Bubble">"Bubble"</definedName>
    <definedName name="Chart">"Chart"</definedName>
    <definedName name="Dates">OFFSET(#REF!,0,0,COUNT(#REF!),1)</definedName>
    <definedName name="ExtNow">OFFSET(#REF!,0,0,COUNT(#REF!),1)</definedName>
    <definedName name="HardData">OFFSET(#REF!,0,0,COUNT(#REF!),1)</definedName>
    <definedName name="Heatmap">"Heatmap"</definedName>
    <definedName name="Histogram">"Histogram"</definedName>
    <definedName name="Housing">OFFSET(#REF!,0,0,COUNT(#REF!),1)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abour">OFFSET(#REF!,0,0,COUNT(#REF!),1)</definedName>
    <definedName name="Map">"Map"</definedName>
    <definedName name="Other">OFFSET(#REF!,0,0,COUNT(#REF!),1)</definedName>
    <definedName name="PieChart">"PieChart"</definedName>
    <definedName name="Prices">OFFSET(#REF!,0,0,COUNT(#REF!),1)</definedName>
    <definedName name="Scatter">"Scatter"</definedName>
    <definedName name="Series">"Series"</definedName>
    <definedName name="Surveys">OFFSET(#REF!,0,0,COUNT(#REF!),1)</definedName>
    <definedName name="Table">"Table"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0" i="23" l="1"/>
  <c r="G79" i="23"/>
  <c r="H78" i="23"/>
  <c r="AF23" i="32"/>
  <c r="AE23" i="32"/>
  <c r="AD23" i="32"/>
  <c r="AC23" i="32"/>
  <c r="AB23" i="32"/>
  <c r="AA23" i="32"/>
  <c r="Z23" i="32"/>
  <c r="Y23" i="32"/>
  <c r="X23" i="32"/>
  <c r="W23" i="32"/>
  <c r="AF22" i="32"/>
  <c r="AE22" i="32"/>
  <c r="AD22" i="32"/>
  <c r="AC22" i="32"/>
  <c r="AB22" i="32"/>
  <c r="AA22" i="32"/>
  <c r="Z22" i="32"/>
  <c r="Y22" i="32"/>
  <c r="X22" i="32"/>
  <c r="W22" i="32"/>
  <c r="AF21" i="32"/>
  <c r="AE21" i="32"/>
  <c r="AD21" i="32"/>
  <c r="AC21" i="32"/>
  <c r="AB21" i="32"/>
  <c r="AA21" i="32"/>
  <c r="Z21" i="32"/>
  <c r="Y21" i="32"/>
  <c r="X21" i="32"/>
  <c r="W21" i="32"/>
  <c r="AF20" i="32"/>
  <c r="AE20" i="32"/>
  <c r="AD20" i="32"/>
  <c r="AC20" i="32"/>
  <c r="AB20" i="32"/>
  <c r="AA20" i="32"/>
  <c r="Z20" i="32"/>
  <c r="Y20" i="32"/>
  <c r="X20" i="32"/>
  <c r="W20" i="32"/>
  <c r="AF19" i="32"/>
  <c r="AE19" i="32"/>
  <c r="AD19" i="32"/>
  <c r="AC19" i="32"/>
  <c r="AB19" i="32"/>
  <c r="AA19" i="32"/>
  <c r="Z19" i="32"/>
  <c r="Y19" i="32"/>
  <c r="X19" i="32"/>
  <c r="AF15" i="32"/>
  <c r="AE15" i="32"/>
  <c r="AD15" i="32"/>
  <c r="AC15" i="32"/>
  <c r="AB15" i="32"/>
  <c r="AA15" i="32"/>
  <c r="Z15" i="32"/>
  <c r="Y15" i="32"/>
  <c r="X15" i="32"/>
  <c r="W15" i="32"/>
  <c r="AF14" i="32"/>
  <c r="AE14" i="32"/>
  <c r="AD14" i="32"/>
  <c r="AC14" i="32"/>
  <c r="AB14" i="32"/>
  <c r="AA14" i="32"/>
  <c r="Z14" i="32"/>
  <c r="Y14" i="32"/>
  <c r="X14" i="32"/>
  <c r="W14" i="32"/>
  <c r="AF13" i="32"/>
  <c r="AE13" i="32"/>
  <c r="AD13" i="32"/>
  <c r="AC13" i="32"/>
  <c r="AB13" i="32"/>
  <c r="AA13" i="32"/>
  <c r="Z13" i="32"/>
  <c r="Y13" i="32"/>
  <c r="X13" i="32"/>
  <c r="W13" i="32"/>
  <c r="AF12" i="32"/>
  <c r="AE12" i="32"/>
  <c r="AD12" i="32"/>
  <c r="AC12" i="32"/>
  <c r="AB12" i="32"/>
  <c r="AA12" i="32"/>
  <c r="Z12" i="32"/>
  <c r="Y12" i="32"/>
  <c r="X12" i="32"/>
  <c r="W12" i="32"/>
  <c r="AF11" i="32"/>
  <c r="AE11" i="32"/>
  <c r="AD11" i="32"/>
  <c r="AC11" i="32"/>
  <c r="AB11" i="32"/>
  <c r="AA11" i="32"/>
  <c r="Z11" i="32"/>
  <c r="Y11" i="32"/>
  <c r="X11" i="32"/>
  <c r="W11" i="32"/>
  <c r="V11" i="32"/>
  <c r="AF10" i="32"/>
  <c r="AE10" i="32"/>
  <c r="AD10" i="32"/>
  <c r="AC10" i="32"/>
  <c r="AB10" i="32"/>
  <c r="AA10" i="32"/>
  <c r="Z10" i="32"/>
  <c r="Y10" i="32"/>
  <c r="X10" i="32"/>
  <c r="W10" i="32"/>
  <c r="AF9" i="32"/>
  <c r="AE9" i="32"/>
  <c r="AD9" i="32"/>
  <c r="AC9" i="32"/>
  <c r="AB9" i="32"/>
  <c r="AA9" i="32"/>
  <c r="Z9" i="32"/>
  <c r="Y9" i="32"/>
  <c r="X9" i="32"/>
  <c r="W9" i="32"/>
  <c r="AF8" i="32"/>
  <c r="AE8" i="32"/>
  <c r="AD8" i="32"/>
  <c r="AC8" i="32"/>
  <c r="AB8" i="32"/>
  <c r="AA8" i="32"/>
  <c r="Z8" i="32"/>
  <c r="Y8" i="32"/>
  <c r="X8" i="32"/>
  <c r="W8" i="32"/>
  <c r="AF7" i="32"/>
  <c r="AE7" i="32"/>
  <c r="AD7" i="32"/>
  <c r="AC7" i="32"/>
  <c r="AB7" i="32"/>
  <c r="AA7" i="32"/>
  <c r="Z7" i="32"/>
  <c r="Y7" i="32"/>
  <c r="X7" i="32"/>
  <c r="W7" i="32"/>
  <c r="V7" i="32"/>
  <c r="AF6" i="32"/>
  <c r="AE6" i="32"/>
  <c r="AD6" i="32"/>
  <c r="AC6" i="32"/>
  <c r="AB6" i="32"/>
  <c r="AA6" i="32"/>
  <c r="Z6" i="32"/>
  <c r="Y6" i="32"/>
  <c r="X6" i="32"/>
  <c r="W6" i="32"/>
  <c r="AF5" i="32"/>
  <c r="AE5" i="32"/>
  <c r="AD5" i="32"/>
  <c r="AC5" i="32"/>
  <c r="AB5" i="32"/>
  <c r="AA5" i="32"/>
  <c r="Z5" i="32"/>
  <c r="Y5" i="32"/>
  <c r="X5" i="32"/>
  <c r="W5" i="32"/>
  <c r="AF4" i="32"/>
  <c r="AE4" i="32"/>
  <c r="AD4" i="32"/>
  <c r="AC4" i="32"/>
  <c r="AB4" i="32"/>
  <c r="AA4" i="32"/>
  <c r="Z4" i="32"/>
  <c r="Y4" i="32"/>
  <c r="X4" i="32"/>
  <c r="W4" i="32"/>
  <c r="AF3" i="32"/>
  <c r="AE3" i="32"/>
  <c r="AD3" i="32"/>
  <c r="AC3" i="32"/>
  <c r="AB3" i="32"/>
  <c r="AA3" i="32"/>
  <c r="Z3" i="32"/>
  <c r="Y3" i="32"/>
  <c r="X3" i="32"/>
  <c r="W3" i="32"/>
  <c r="V3" i="32"/>
  <c r="AF2" i="32"/>
  <c r="AE2" i="32"/>
  <c r="AD2" i="32"/>
  <c r="AC2" i="32"/>
  <c r="AB2" i="32"/>
  <c r="AA2" i="32"/>
  <c r="Z2" i="32"/>
  <c r="Y2" i="32"/>
  <c r="X2" i="32"/>
  <c r="F20" i="21"/>
  <c r="F19" i="21"/>
  <c r="U18" i="21"/>
  <c r="J18" i="21"/>
  <c r="F18" i="21"/>
  <c r="F17" i="21"/>
  <c r="U17" i="21" s="1"/>
  <c r="F16" i="21"/>
  <c r="U16" i="21" s="1"/>
  <c r="F15" i="21"/>
  <c r="U15" i="21" s="1"/>
  <c r="F14" i="21"/>
  <c r="U14" i="21" s="1"/>
  <c r="F13" i="21"/>
  <c r="U13" i="21" s="1"/>
  <c r="F12" i="21"/>
  <c r="U12" i="21" s="1"/>
  <c r="F11" i="21"/>
  <c r="U11" i="21" s="1"/>
  <c r="F10" i="21"/>
  <c r="U10" i="21" s="1"/>
  <c r="F9" i="21"/>
  <c r="U9" i="21" s="1"/>
  <c r="L2" i="21"/>
  <c r="I2" i="21"/>
  <c r="M77" i="23"/>
  <c r="H79" i="23" a="1"/>
  <c r="K77" i="23"/>
  <c r="H80" i="23" a="1"/>
  <c r="J20" i="21" a="1"/>
  <c r="I19" i="21" a="1"/>
  <c r="J77" i="23"/>
  <c r="L77" i="23"/>
  <c r="I19" i="21" l="1"/>
  <c r="J20" i="21"/>
  <c r="H79" i="23"/>
  <c r="H80" i="23"/>
  <c r="U19" i="21"/>
  <c r="U20" i="21"/>
  <c r="M80" i="23"/>
  <c r="J80" i="23"/>
  <c r="I20" i="21" a="1"/>
  <c r="L20" i="21" a="1"/>
  <c r="L19" i="21" a="1"/>
  <c r="K20" i="21" a="1"/>
  <c r="J19" i="21" a="1"/>
  <c r="L80" i="23"/>
  <c r="K19" i="21" a="1"/>
  <c r="K80" i="23"/>
  <c r="J19" i="21" l="1"/>
  <c r="L19" i="21"/>
  <c r="K20" i="21"/>
  <c r="K19" i="21"/>
  <c r="I20" i="21"/>
  <c r="L20" i="21"/>
  <c r="Y20" i="21"/>
  <c r="W20" i="21"/>
  <c r="V20" i="21"/>
  <c r="X20" i="21"/>
  <c r="Z20" i="21"/>
  <c r="AA20" i="21"/>
  <c r="Y19" i="21"/>
  <c r="X19" i="21"/>
  <c r="W19" i="21"/>
  <c r="AA19" i="21"/>
  <c r="Z19" i="21"/>
  <c r="V19" i="2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<sst xmlns="http://schemas.openxmlformats.org/spreadsheetml/2006/main" count="1394" uniqueCount="172">
  <si>
    <t>Date</t>
  </si>
  <si>
    <t>Old nowcast</t>
  </si>
  <si>
    <t>If change the names of variables, will also understand a new model</t>
  </si>
  <si>
    <t>Same if the order of variables is changed</t>
  </si>
  <si>
    <t>Colour code</t>
  </si>
  <si>
    <t>xxx</t>
  </si>
  <si>
    <t>Link to other cell (for example by VLOOKUP)</t>
  </si>
  <si>
    <t>Computation based on other cells</t>
  </si>
  <si>
    <t>Notes</t>
  </si>
  <si>
    <t xml:space="preserve">If the specification (number of factors, of lags, of variables, blocks, input series) changes between two runs, the code will paste "Model changed" </t>
  </si>
  <si>
    <t>In this case, no news decomposition can be done</t>
  </si>
  <si>
    <t>Hard-coded data (entered by user or pasted from Matlab)</t>
  </si>
  <si>
    <t>Short-term projections</t>
  </si>
  <si>
    <t>(quarterly percentage changes)</t>
  </si>
  <si>
    <t>Chart (to be pasted from sheet to sheet for news decomposition)</t>
  </si>
  <si>
    <t> </t>
  </si>
  <si>
    <t>2023Q4</t>
  </si>
  <si>
    <t>Q2 2023</t>
  </si>
  <si>
    <t>&lt; -2.5</t>
  </si>
  <si>
    <t>[-2.5,-2.0[</t>
  </si>
  <si>
    <t>[-2.0,-1.5[</t>
  </si>
  <si>
    <t>[-1.5,-1.0[</t>
  </si>
  <si>
    <t>[-1.0,-0.5[</t>
  </si>
  <si>
    <t>[-0.5,0.0[</t>
  </si>
  <si>
    <t>[0.0,0.5[</t>
  </si>
  <si>
    <t>[0.5,1.0[</t>
  </si>
  <si>
    <t>[1.0,1.5[</t>
  </si>
  <si>
    <t>[1.5,2.0[</t>
  </si>
  <si>
    <t>[2.0,2.5[</t>
  </si>
  <si>
    <t>&gt; 2.5</t>
  </si>
  <si>
    <t>Q3 2023</t>
  </si>
  <si>
    <t>NaN</t>
  </si>
  <si>
    <t>Notes: Z-scores are computed by subtracting the mean and dividing by the standard deviation. For monthly series, value are smoothed over five months as per the approximation of quarterly growth rates with monthly growth rates.</t>
  </si>
  <si>
    <t>Q4 2023</t>
  </si>
  <si>
    <t>Required user input</t>
  </si>
  <si>
    <t>Do not modify the structure of spreadsheets. Otherwise it can mess with the automatic data pasting from Matlab</t>
  </si>
  <si>
    <t>The sheet "Other charts" is a space for alternative charts and computations. Please use this one for one-off charts to keep the regular sheets uncluttered.</t>
  </si>
  <si>
    <t>Readme</t>
  </si>
  <si>
    <t>$B$21</t>
  </si>
  <si>
    <t>Refresh</t>
  </si>
  <si>
    <t>Q date</t>
  </si>
  <si>
    <t>Outcome</t>
  </si>
  <si>
    <t>GROUPED CONTRIBUTIONS</t>
  </si>
  <si>
    <t>INDIVIDUAL CONTRIBUTIONS</t>
  </si>
  <si>
    <t>Notes: Z-scores are computed by subtracting the mean and dividing by the standard deviation. Z-scores for groups is the un-weighted average of z-scores for all series belonging to that group. For monthly series, value are smoothed over five months as per the approximation of quarterly growth rates with monthly growth rates.</t>
  </si>
  <si>
    <t>Nowcast - MAE</t>
  </si>
  <si>
    <t>2 * MAE</t>
  </si>
  <si>
    <t>News decomposition graph tool</t>
  </si>
  <si>
    <t>Quarter</t>
  </si>
  <si>
    <t>New nowcast</t>
  </si>
  <si>
    <t>=======&gt;</t>
  </si>
  <si>
    <t>NEWS DECOMPOSITION</t>
  </si>
  <si>
    <t>(quarterly percentage changes, p.p. contributions)</t>
  </si>
  <si>
    <t>News decomposition</t>
  </si>
  <si>
    <t>Notes: Contributions are approximated as news from data releases one year prior to the target date of the model prediction.</t>
  </si>
  <si>
    <t>Revisions (data and model)</t>
  </si>
  <si>
    <t>2023Q3</t>
  </si>
  <si>
    <t>Nowcast</t>
  </si>
  <si>
    <t>Group 1</t>
  </si>
  <si>
    <t>Group 2</t>
  </si>
  <si>
    <t>Group 3</t>
  </si>
  <si>
    <t>Mean</t>
  </si>
  <si>
    <t>Name 10</t>
  </si>
  <si>
    <t>Name 11</t>
  </si>
  <si>
    <t>Name 2</t>
  </si>
  <si>
    <t>Name 1</t>
  </si>
  <si>
    <t>Name 9</t>
  </si>
  <si>
    <t>Name 12</t>
  </si>
  <si>
    <t>Name 6</t>
  </si>
  <si>
    <t>Name target</t>
  </si>
  <si>
    <t>Name 4</t>
  </si>
  <si>
    <t>Name 3</t>
  </si>
  <si>
    <t>Name 8</t>
  </si>
  <si>
    <t>Name 7</t>
  </si>
  <si>
    <t>Name 5</t>
  </si>
  <si>
    <t>Full names</t>
  </si>
  <si>
    <t>Group ID</t>
  </si>
  <si>
    <t>Group name</t>
  </si>
  <si>
    <t>Full name 11</t>
  </si>
  <si>
    <t>Full name 2</t>
  </si>
  <si>
    <t>Full name 1</t>
  </si>
  <si>
    <t>Full name 9</t>
  </si>
  <si>
    <t>Full name 12</t>
  </si>
  <si>
    <t>Full name 6</t>
  </si>
  <si>
    <t>Full name target</t>
  </si>
  <si>
    <t>Full name 4</t>
  </si>
  <si>
    <t>Full name 3</t>
  </si>
  <si>
    <t>Full name 8</t>
  </si>
  <si>
    <t>Full name 7</t>
  </si>
  <si>
    <t>Full name 5</t>
  </si>
  <si>
    <t>Contributions below relate to first prediction (back-cast or nowcast)</t>
  </si>
  <si>
    <t>No Group 1</t>
  </si>
  <si>
    <t>No Group 2</t>
  </si>
  <si>
    <t>No Group 3</t>
  </si>
  <si>
    <t>No Group 1 and Group 2</t>
  </si>
  <si>
    <t>No Group 1 and Group 3</t>
  </si>
  <si>
    <t>No Group 2 and Group 3</t>
  </si>
  <si>
    <t>Min</t>
  </si>
  <si>
    <t>Max</t>
  </si>
  <si>
    <t>Full model</t>
  </si>
  <si>
    <t>Sources: XXX based on Linzenich and Meunier (2024).</t>
  </si>
  <si>
    <t>Notes: Light blue dots represent predictions by alternative models obtained by removing 1 or 2 groups of variables from inputs.</t>
  </si>
  <si>
    <t>Notes: The grey range represents the 57.5% confidence interval. It is computed based on the mean absolute errors of prediction errors over the past 10 years, following Reifschneider and Tulip (2019).</t>
  </si>
  <si>
    <t>LATEST</t>
  </si>
  <si>
    <t>PREVIOUS</t>
  </si>
  <si>
    <t>Current nowcast</t>
  </si>
  <si>
    <t>Variable coverage</t>
  </si>
  <si>
    <t>FDA (last 10y)</t>
  </si>
  <si>
    <t>MAE</t>
  </si>
  <si>
    <t>Prediction - MAE</t>
  </si>
  <si>
    <t>Prediction + MAE</t>
  </si>
  <si>
    <t>Date (old nowcast)</t>
  </si>
  <si>
    <t xml:space="preserve">Notes: Dots represent the evolution of short-term estimates. Bars are contributions to revisions between two consecutive rounds. </t>
  </si>
  <si>
    <t>BASELINE CHART</t>
  </si>
  <si>
    <r>
      <t xml:space="preserve">CHART WITH </t>
    </r>
    <r>
      <rPr>
        <i/>
        <u/>
        <sz val="10"/>
        <color rgb="FF777777"/>
        <rFont val="Arial"/>
        <family val="2"/>
      </rPr>
      <t>ALL</t>
    </r>
    <r>
      <rPr>
        <i/>
        <sz val="10"/>
        <color rgb="FF777777"/>
        <rFont val="Arial"/>
        <family val="2"/>
      </rPr>
      <t xml:space="preserve"> ALTERNATIVE MODELS</t>
    </r>
  </si>
  <si>
    <r>
      <t xml:space="preserve">CHART WITH </t>
    </r>
    <r>
      <rPr>
        <i/>
        <u/>
        <sz val="10"/>
        <color rgb="FF777777"/>
        <rFont val="Arial"/>
        <family val="2"/>
      </rPr>
      <t>SELECTED</t>
    </r>
    <r>
      <rPr>
        <i/>
        <sz val="10"/>
        <color rgb="FF777777"/>
        <rFont val="Arial"/>
        <family val="2"/>
      </rPr>
      <t xml:space="preserve"> ALTERNATIVE MODEL(S)</t>
    </r>
  </si>
  <si>
    <t>CHART WITH ERROR BANDS</t>
  </si>
  <si>
    <t>Model/file changed</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</si>
  <si>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</si>
  <si>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</si>
  <si>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</si>
  <si>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</si>
  <si>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</si>
  <si>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</si>
  <si>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</si>
  <si>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</si>
  <si>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</si>
  <si>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</si>
  <si>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</si>
  <si>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</si>
  <si>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</si>
  <si>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</si>
  <si>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</si>
  <si>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</si>
  <si>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</si>
  <si>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</si>
  <si>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</si>
  <si>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</si>
  <si>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</si>
  <si>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</si>
  <si>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</si>
  <si>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</si>
  <si>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</si>
  <si>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</si>
  <si>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</si>
  <si>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</si>
  <si>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</si>
  <si>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</si>
  <si>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</si>
  <si>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</si>
  <si>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</si>
  <si>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</si>
  <si>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</si>
  <si>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</si>
  <si>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</si>
  <si>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</si>
  <si>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</si>
  <si>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</si>
  <si>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</si>
  <si>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</si>
  <si>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</si>
  <si>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</si>
  <si>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</si>
  <si>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</si>
  <si>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</si>
  <si>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</si>
  <si>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</si>
  <si>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</si>
  <si>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 </t>
  </si>
  <si>
    <t>Full name 10</t>
  </si>
  <si>
    <t> </t>
  </si>
  <si>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</sst>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_._0_0"/>
    <numFmt numFmtId="166" formatCode="mmm\.\ yy"/>
    <numFmt numFmtId="167" formatCode="0.000"/>
  </numFmts>
  <fonts count="33" x14ac:knownFonts="1">
    <font>
      <sz val="11"/>
      <color theme="1"/>
      <name val="Calibri"/>
      <family val="2"/>
      <scheme val="minor"/>
    </font>
    <font>
      <sz val="11"/>
      <color theme="1"/>
      <name val="Calibri"/>
      <family val="2"/>
      <scheme val="minor"/>
    </font>
    <font>
      <sz val="9"/>
      <color theme="1"/>
      <name val="Arial"/>
      <family val="2"/>
    </font>
    <font>
      <sz val="9"/>
      <color rgb="FF00B050"/>
      <name val="Arial"/>
      <family val="2"/>
    </font>
    <font>
      <sz val="9"/>
      <color rgb="FFFF0000"/>
      <name val="Arial"/>
      <family val="2"/>
    </font>
    <font>
      <sz val="14"/>
      <color rgb="FF003399"/>
      <name val="Arial"/>
      <family val="2"/>
    </font>
    <font>
      <b/>
      <sz val="11"/>
      <color theme="1"/>
      <name val="Calibri"/>
      <family val="2"/>
      <scheme val="minor"/>
    </font>
    <font>
      <b/>
      <sz val="12"/>
      <color rgb="FF003399"/>
      <name val="Arial"/>
      <family val="2"/>
    </font>
    <font>
      <sz val="10"/>
      <color rgb="FF003399"/>
      <name val="Arial"/>
      <family val="2"/>
    </font>
    <font>
      <sz val="7"/>
      <color rgb="FF003399"/>
      <name val="Arial"/>
      <family val="2"/>
    </font>
    <font>
      <i/>
      <sz val="14"/>
      <color rgb="FF003399"/>
      <name val="Arial"/>
      <family val="2"/>
    </font>
    <font>
      <sz val="10"/>
      <color theme="1"/>
      <name val="Arial"/>
      <family val="2"/>
    </font>
    <font>
      <sz val="10"/>
      <color rgb="FF003299"/>
      <name val="Arial"/>
      <family val="2"/>
    </font>
    <font>
      <b/>
      <sz val="12"/>
      <color rgb="FF003299"/>
      <name val="Arial"/>
      <family val="2"/>
    </font>
    <font>
      <sz val="7"/>
      <color rgb="FF003299"/>
      <name val="Arial"/>
      <family val="2"/>
    </font>
    <font>
      <sz val="9"/>
      <color rgb="FF003299"/>
      <name val="Arial"/>
      <family val="2"/>
    </font>
    <font>
      <sz val="11"/>
      <color rgb="FFFF0000"/>
      <name val="Calibri"/>
      <family val="2"/>
      <scheme val="minor"/>
    </font>
    <font>
      <sz val="11"/>
      <color rgb="FF00B050"/>
      <name val="Calibri"/>
      <family val="2"/>
      <scheme val="minor"/>
    </font>
    <font>
      <b/>
      <sz val="10"/>
      <color theme="1"/>
      <name val="Arial"/>
      <family val="2"/>
    </font>
    <font>
      <b/>
      <sz val="9"/>
      <color theme="1"/>
      <name val="Arial"/>
      <family val="2"/>
    </font>
    <font>
      <u/>
      <sz val="11"/>
      <color theme="10"/>
      <name val="Calibri"/>
      <family val="2"/>
      <scheme val="minor"/>
    </font>
    <font>
      <sz val="11"/>
      <color theme="1"/>
      <name val="Arial"/>
      <family val="2"/>
    </font>
    <font>
      <sz val="10"/>
      <color rgb="FFFF0000"/>
      <name val="Arial"/>
      <family val="2"/>
    </font>
    <font>
      <sz val="8"/>
      <color theme="1"/>
      <name val="Arial"/>
      <family val="2"/>
    </font>
    <font>
      <i/>
      <sz val="10"/>
      <color rgb="FF777777"/>
      <name val="Arial"/>
      <family val="2"/>
    </font>
    <font>
      <i/>
      <u/>
      <sz val="10"/>
      <color rgb="FF777777"/>
      <name val="Arial"/>
      <family val="2"/>
    </font>
    <font>
      <sz val="11"/>
      <name val="Calibri"/>
      <family val="2"/>
      <scheme val="minor"/>
    </font>
    <font>
      <b/>
      <sz val="11"/>
      <name val="Arial"/>
      <family val="2"/>
    </font>
    <font>
      <sz val="11"/>
      <color rgb="FF00B050"/>
      <name val="Arial"/>
      <family val="2"/>
    </font>
    <font>
      <i/>
      <sz val="11"/>
      <color theme="1"/>
      <name val="Arial"/>
      <family val="2"/>
    </font>
    <font>
      <i/>
      <sz val="11"/>
      <name val="Arial"/>
      <family val="2"/>
    </font>
    <font>
      <sz val="11"/>
      <color rgb="FFFF0000"/>
      <name val="Arial"/>
      <family val="2"/>
    </font>
    <font>
      <b/>
      <i/>
      <sz val="11"/>
      <name val="Arial"/>
      <family val="2"/>
    </font>
  </fonts>
  <fills count="20">
    <fill>
      <patternFill patternType="none"/>
    </fill>
    <fill>
      <patternFill patternType="gray125"/>
    </fill>
    <fill>
      <patternFill patternType="solid">
        <fgColor theme="4" tint="0.79995117038483843"/>
        <bgColor indexed="64"/>
      </patternFill>
    </fill>
    <fill>
      <patternFill patternType="solid">
        <fgColor theme="0"/>
        <bgColor indexed="64"/>
      </patternFill>
    </fill>
    <fill>
      <patternFill patternType="solid">
        <fgColor theme="4" tint="0.79995117038483843"/>
        <bgColor indexed="64"/>
      </patternFill>
    </fill>
    <fill>
      <patternFill patternType="solid">
        <fgColor rgb="FFDCE6F1"/>
        <bgColor indexed="64"/>
      </patternFill>
    </fill>
    <fill>
      <patternFill patternType="solid">
        <fgColor rgb="FFFFCDCD"/>
        <bgColor indexed="64"/>
      </patternFill>
    </fill>
    <fill>
      <patternFill patternType="solid">
        <fgColor rgb="FFFFAFAF"/>
        <bgColor indexed="64"/>
      </patternFill>
    </fill>
    <fill>
      <patternFill patternType="solid">
        <fgColor rgb="FFFFE7E7"/>
        <bgColor indexed="64"/>
      </patternFill>
    </fill>
    <fill>
      <patternFill patternType="solid">
        <fgColor rgb="FFFF8B8B"/>
        <bgColor indexed="64"/>
      </patternFill>
    </fill>
    <fill>
      <patternFill patternType="solid">
        <fgColor rgb="FFCBDDF5"/>
        <bgColor indexed="64"/>
      </patternFill>
    </fill>
    <fill>
      <patternFill patternType="solid">
        <fgColor rgb="FFFF4B4B"/>
        <bgColor indexed="64"/>
      </patternFill>
    </fill>
    <fill>
      <patternFill patternType="solid">
        <fgColor rgb="FFF60000"/>
        <bgColor indexed="64"/>
      </patternFill>
    </fill>
    <fill>
      <patternFill patternType="solid">
        <fgColor rgb="FFE6EFFA"/>
        <bgColor indexed="64"/>
      </patternFill>
    </fill>
    <fill>
      <patternFill patternType="solid">
        <fgColor rgb="FFABC8EF"/>
        <bgColor indexed="64"/>
      </patternFill>
    </fill>
    <fill>
      <patternFill patternType="solid">
        <fgColor rgb="FF8BB3E9"/>
        <bgColor indexed="64"/>
      </patternFill>
    </fill>
    <fill>
      <patternFill patternType="solid">
        <fgColor rgb="FF649AE2"/>
        <bgColor indexed="64"/>
      </patternFill>
    </fill>
    <fill>
      <patternFill patternType="solid">
        <fgColor rgb="FF4183DB"/>
        <bgColor indexed="64"/>
      </patternFill>
    </fill>
    <fill>
      <patternFill patternType="solid">
        <fgColor theme="0" tint="-0.14999847407452621"/>
        <bgColor indexed="64"/>
      </patternFill>
    </fill>
    <fill>
      <patternFill patternType="solid">
        <fgColor theme="4" tint="0.79995117038483843"/>
        <bgColor indexed="64"/>
      </patternFill>
    </fill>
  </fills>
  <borders count="21">
    <border>
      <left/>
      <right/>
      <top/>
      <bottom/>
      <diagonal/>
    </border>
    <border>
      <left/>
      <right/>
      <top/>
      <bottom style="thin">
        <color indexed="64"/>
      </bottom>
      <diagonal/>
    </border>
    <border>
      <left/>
      <right/>
      <top style="medium">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0" fontId="1" fillId="0" borderId="0"/>
    <xf numFmtId="165" fontId="1" fillId="0" borderId="0" applyFont="0" applyFill="0" applyBorder="0" applyAlignment="0" applyProtection="0"/>
    <xf numFmtId="0" fontId="20" fillId="0" borderId="0" applyNumberFormat="0" applyFill="0" applyBorder="0" applyAlignment="0" applyProtection="0"/>
    <xf numFmtId="0" fontId="1" fillId="0" borderId="0"/>
    <xf numFmtId="0" fontId="1" fillId="0" borderId="0"/>
  </cellStyleXfs>
  <cellXfs count="136">
    <xf numFmtId="0" fontId="0" fillId="0" borderId="0" xfId="0"/>
    <xf numFmtId="15" fontId="0" fillId="0" borderId="0" xfId="0" applyNumberFormat="1"/>
    <xf numFmtId="0" fontId="2" fillId="0" borderId="0" xfId="0" applyFont="1"/>
    <xf numFmtId="0" fontId="2" fillId="0" borderId="1" xfId="0" applyFont="1" applyBorder="1"/>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2" fillId="0" borderId="0" xfId="0" applyFont="1" applyAlignment="1">
      <alignment horizontal="left" indent="2"/>
    </xf>
    <xf numFmtId="0" fontId="5" fillId="3" borderId="0" xfId="1" applyFont="1" applyFill="1"/>
    <xf numFmtId="0" fontId="5" fillId="0" borderId="0" xfId="1" applyFont="1"/>
    <xf numFmtId="0" fontId="5" fillId="3" borderId="0" xfId="1" applyFont="1" applyFill="1" applyAlignment="1">
      <alignment wrapText="1"/>
    </xf>
    <xf numFmtId="0" fontId="5" fillId="2" borderId="0" xfId="1" applyFont="1" applyFill="1"/>
    <xf numFmtId="0" fontId="5" fillId="0" borderId="0" xfId="1" applyFont="1" applyAlignment="1">
      <alignment wrapText="1"/>
    </xf>
    <xf numFmtId="0" fontId="10" fillId="3" borderId="0" xfId="1" applyFont="1" applyFill="1"/>
    <xf numFmtId="0" fontId="10" fillId="0" borderId="0" xfId="1" applyFont="1"/>
    <xf numFmtId="0" fontId="0" fillId="0" borderId="0" xfId="0" quotePrefix="1"/>
    <xf numFmtId="19" fontId="0" fillId="0" borderId="0" xfId="0" applyNumberFormat="1"/>
    <xf numFmtId="22" fontId="0" fillId="0" borderId="0" xfId="0" applyNumberFormat="1"/>
    <xf numFmtId="0" fontId="0" fillId="4" borderId="0" xfId="0" applyFill="1"/>
    <xf numFmtId="0" fontId="0" fillId="3" borderId="0" xfId="0" applyFill="1"/>
    <xf numFmtId="0" fontId="5" fillId="4" borderId="0" xfId="1" applyFont="1" applyFill="1"/>
    <xf numFmtId="0" fontId="11" fillId="0" borderId="0" xfId="0" applyFont="1" applyAlignment="1">
      <alignment vertical="center"/>
    </xf>
    <xf numFmtId="0" fontId="11" fillId="0" borderId="0" xfId="0" applyFont="1" applyAlignment="1">
      <alignment horizontal="left" vertical="center" indent="2"/>
    </xf>
    <xf numFmtId="0" fontId="15" fillId="4" borderId="0" xfId="0" applyFont="1" applyFill="1" applyAlignment="1">
      <alignment horizontal="center"/>
    </xf>
    <xf numFmtId="0" fontId="19" fillId="0" borderId="0" xfId="0" applyFont="1"/>
    <xf numFmtId="0" fontId="14" fillId="3" borderId="0" xfId="0" applyFont="1" applyFill="1" applyAlignment="1">
      <alignment vertical="center"/>
    </xf>
    <xf numFmtId="14" fontId="0" fillId="0" borderId="0" xfId="0" applyNumberFormat="1"/>
    <xf numFmtId="0" fontId="0" fillId="0" borderId="0" xfId="0" applyAlignment="1">
      <alignment horizontal="center"/>
    </xf>
    <xf numFmtId="0" fontId="5" fillId="5" borderId="0" xfId="1" applyFont="1" applyFill="1"/>
    <xf numFmtId="0" fontId="5" fillId="5" borderId="0" xfId="1" applyFont="1" applyFill="1" applyAlignment="1">
      <alignment wrapText="1"/>
    </xf>
    <xf numFmtId="0" fontId="10" fillId="5" borderId="0" xfId="1" applyFont="1" applyFill="1"/>
    <xf numFmtId="164" fontId="11" fillId="0" borderId="3" xfId="5" applyNumberFormat="1" applyFont="1" applyBorder="1" applyAlignment="1">
      <alignment horizontal="center" vertical="center"/>
    </xf>
    <xf numFmtId="164" fontId="11" fillId="0" borderId="4" xfId="5" applyNumberFormat="1" applyFont="1" applyBorder="1" applyAlignment="1">
      <alignment horizontal="center" vertical="center"/>
    </xf>
    <xf numFmtId="164" fontId="11" fillId="0" borderId="7" xfId="5" applyNumberFormat="1" applyFont="1" applyBorder="1" applyAlignment="1">
      <alignment horizontal="center" vertical="center"/>
    </xf>
    <xf numFmtId="164" fontId="11" fillId="0" borderId="6" xfId="5" applyNumberFormat="1" applyFont="1" applyBorder="1" applyAlignment="1">
      <alignment horizontal="center" vertical="center"/>
    </xf>
    <xf numFmtId="164" fontId="11" fillId="0" borderId="8" xfId="5" applyNumberFormat="1" applyFont="1" applyBorder="1" applyAlignment="1">
      <alignment horizontal="center" vertical="center"/>
    </xf>
    <xf numFmtId="166" fontId="11" fillId="3" borderId="3" xfId="0" applyNumberFormat="1" applyFont="1" applyFill="1" applyBorder="1" applyAlignment="1">
      <alignment horizontal="center" vertical="center"/>
    </xf>
    <xf numFmtId="166" fontId="11" fillId="3" borderId="0" xfId="0" applyNumberFormat="1" applyFont="1" applyFill="1" applyAlignment="1">
      <alignment horizontal="center" vertical="center"/>
    </xf>
    <xf numFmtId="166" fontId="11" fillId="3" borderId="4" xfId="0" applyNumberFormat="1" applyFont="1" applyFill="1" applyBorder="1" applyAlignment="1">
      <alignment horizontal="center" vertical="center"/>
    </xf>
    <xf numFmtId="164" fontId="11" fillId="0" borderId="0" xfId="5" applyNumberFormat="1" applyFont="1" applyAlignment="1">
      <alignment horizontal="center" vertical="center"/>
    </xf>
    <xf numFmtId="164" fontId="22" fillId="0" borderId="0" xfId="5" applyNumberFormat="1" applyFont="1" applyAlignment="1">
      <alignment horizontal="center" vertical="center"/>
    </xf>
    <xf numFmtId="0" fontId="21" fillId="3" borderId="0" xfId="5" applyFont="1" applyFill="1" applyAlignment="1">
      <alignment vertical="center"/>
    </xf>
    <xf numFmtId="0" fontId="11" fillId="3" borderId="0" xfId="5" applyFont="1" applyFill="1" applyAlignment="1">
      <alignment vertical="center"/>
    </xf>
    <xf numFmtId="0" fontId="11" fillId="3" borderId="5" xfId="0" applyFont="1" applyFill="1" applyBorder="1" applyAlignment="1">
      <alignment vertical="center"/>
    </xf>
    <xf numFmtId="0" fontId="11" fillId="3" borderId="6" xfId="0" applyFont="1" applyFill="1" applyBorder="1" applyAlignment="1">
      <alignment vertical="center"/>
    </xf>
    <xf numFmtId="9" fontId="0" fillId="0" borderId="0" xfId="0" applyNumberFormat="1"/>
    <xf numFmtId="0" fontId="18" fillId="0" borderId="0" xfId="0" applyFont="1" applyAlignment="1">
      <alignment vertical="center"/>
    </xf>
    <xf numFmtId="0" fontId="2" fillId="18" borderId="0" xfId="0" applyFont="1" applyFill="1" applyAlignment="1">
      <alignment horizontal="center"/>
    </xf>
    <xf numFmtId="0" fontId="9" fillId="0" borderId="0" xfId="1" applyFont="1" applyAlignment="1">
      <alignment vertical="center" wrapText="1"/>
    </xf>
    <xf numFmtId="0" fontId="8" fillId="0" borderId="0" xfId="1" applyFont="1" applyAlignment="1">
      <alignment horizontal="center" vertical="center" wrapText="1"/>
    </xf>
    <xf numFmtId="0" fontId="7" fillId="0" borderId="0" xfId="1" applyFont="1" applyAlignment="1">
      <alignment horizontal="center" vertical="center" wrapText="1"/>
    </xf>
    <xf numFmtId="0" fontId="24" fillId="4" borderId="0" xfId="1" applyFont="1" applyFill="1" applyAlignment="1">
      <alignment horizontal="center"/>
    </xf>
    <xf numFmtId="0" fontId="5" fillId="0" borderId="0" xfId="1" applyFont="1" applyAlignment="1">
      <alignment vertical="center" wrapText="1"/>
    </xf>
    <xf numFmtId="0" fontId="26" fillId="0" borderId="0" xfId="0" applyFont="1"/>
    <xf numFmtId="0" fontId="23" fillId="12" borderId="0" xfId="0" applyFont="1" applyFill="1" applyAlignment="1">
      <alignment horizontal="center" vertical="center"/>
    </xf>
    <xf numFmtId="0" fontId="12" fillId="3" borderId="0" xfId="0" applyFont="1" applyFill="1" applyAlignment="1">
      <alignment vertical="center"/>
    </xf>
    <xf numFmtId="0" fontId="23" fillId="11" borderId="0" xfId="0" applyFont="1" applyFill="1" applyAlignment="1">
      <alignment horizontal="center" vertical="center"/>
    </xf>
    <xf numFmtId="0" fontId="23" fillId="9" borderId="0" xfId="0" applyFont="1" applyFill="1" applyAlignment="1">
      <alignment horizontal="center" vertical="center"/>
    </xf>
    <xf numFmtId="0" fontId="23" fillId="7" borderId="0" xfId="0" applyFont="1" applyFill="1" applyAlignment="1">
      <alignment horizontal="center" vertical="center"/>
    </xf>
    <xf numFmtId="0" fontId="23" fillId="6" borderId="0" xfId="0" applyFont="1" applyFill="1" applyAlignment="1">
      <alignment horizontal="center" vertical="center"/>
    </xf>
    <xf numFmtId="0" fontId="23" fillId="8" borderId="0" xfId="0" applyFont="1" applyFill="1" applyAlignment="1">
      <alignment horizontal="center" vertical="center"/>
    </xf>
    <xf numFmtId="0" fontId="23" fillId="13" borderId="0" xfId="0" applyFont="1" applyFill="1" applyAlignment="1">
      <alignment horizontal="center" vertical="center"/>
    </xf>
    <xf numFmtId="0" fontId="23" fillId="10" borderId="0" xfId="0" applyFont="1" applyFill="1" applyAlignment="1">
      <alignment horizontal="center" vertical="center"/>
    </xf>
    <xf numFmtId="0" fontId="23" fillId="14" borderId="0" xfId="0" applyFont="1" applyFill="1" applyAlignment="1">
      <alignment horizontal="center" vertical="center"/>
    </xf>
    <xf numFmtId="0" fontId="23" fillId="15" borderId="0" xfId="0" applyFont="1" applyFill="1" applyAlignment="1">
      <alignment horizontal="center" vertical="center"/>
    </xf>
    <xf numFmtId="0" fontId="23" fillId="16" borderId="0" xfId="0" applyFont="1" applyFill="1" applyAlignment="1">
      <alignment horizontal="center" vertical="center"/>
    </xf>
    <xf numFmtId="0" fontId="23" fillId="17" borderId="0" xfId="0" applyFont="1" applyFill="1" applyAlignment="1">
      <alignment horizontal="center" vertical="center"/>
    </xf>
    <xf numFmtId="0" fontId="13" fillId="3" borderId="0" xfId="0" applyFont="1" applyFill="1" applyAlignment="1">
      <alignment horizontal="center"/>
    </xf>
    <xf numFmtId="0" fontId="12" fillId="3" borderId="0" xfId="0" applyFont="1" applyFill="1" applyAlignment="1">
      <alignment horizontal="center"/>
    </xf>
    <xf numFmtId="0" fontId="5" fillId="19" borderId="0" xfId="1" applyFont="1" applyFill="1"/>
    <xf numFmtId="0" fontId="0" fillId="3" borderId="9" xfId="0" applyFill="1" applyBorder="1"/>
    <xf numFmtId="0" fontId="0" fillId="3" borderId="2" xfId="0" applyFill="1" applyBorder="1"/>
    <xf numFmtId="0" fontId="0" fillId="3" borderId="10" xfId="0" applyFill="1" applyBorder="1"/>
    <xf numFmtId="0" fontId="0" fillId="3" borderId="11" xfId="0" applyFill="1" applyBorder="1"/>
    <xf numFmtId="0" fontId="0" fillId="3" borderId="12" xfId="0" applyFill="1" applyBorder="1"/>
    <xf numFmtId="0" fontId="6" fillId="3" borderId="11" xfId="0" applyFont="1" applyFill="1" applyBorder="1"/>
    <xf numFmtId="0" fontId="0" fillId="3" borderId="13" xfId="0" applyFill="1" applyBorder="1"/>
    <xf numFmtId="0" fontId="0" fillId="3" borderId="14" xfId="0" applyFill="1" applyBorder="1"/>
    <xf numFmtId="0" fontId="0" fillId="3" borderId="15" xfId="0" applyFill="1" applyBorder="1"/>
    <xf numFmtId="14" fontId="0" fillId="3" borderId="0" xfId="0" applyNumberFormat="1" applyFill="1"/>
    <xf numFmtId="0" fontId="9" fillId="0" borderId="0" xfId="0" applyFont="1" applyAlignment="1">
      <alignment vertical="center" wrapText="1" readingOrder="1"/>
    </xf>
    <xf numFmtId="0" fontId="0" fillId="19" borderId="0" xfId="0" applyFill="1"/>
    <xf numFmtId="0" fontId="6" fillId="19" borderId="0" xfId="0" quotePrefix="1" applyFont="1" applyFill="1"/>
    <xf numFmtId="0" fontId="9" fillId="19" borderId="0" xfId="0" applyFont="1" applyFill="1" applyAlignment="1">
      <alignment vertical="center" wrapText="1" readingOrder="1"/>
    </xf>
    <xf numFmtId="0" fontId="9" fillId="3" borderId="0" xfId="0" applyFont="1" applyFill="1" applyAlignment="1">
      <alignment vertical="center" wrapText="1" readingOrder="1"/>
    </xf>
    <xf numFmtId="0" fontId="6" fillId="3" borderId="0" xfId="0" quotePrefix="1" applyFont="1" applyFill="1"/>
    <xf numFmtId="0" fontId="14" fillId="3" borderId="0" xfId="0" applyFont="1" applyFill="1" applyAlignment="1">
      <alignment vertical="center" wrapText="1"/>
    </xf>
    <xf numFmtId="0" fontId="6" fillId="3" borderId="0" xfId="0" applyFont="1" applyFill="1"/>
    <xf numFmtId="0" fontId="0" fillId="18" borderId="0" xfId="0" applyFill="1" applyAlignment="1">
      <alignment horizontal="center"/>
    </xf>
    <xf numFmtId="14" fontId="0" fillId="18" borderId="0" xfId="0" applyNumberFormat="1" applyFill="1" applyAlignment="1">
      <alignment horizontal="center"/>
    </xf>
    <xf numFmtId="0" fontId="0" fillId="0" borderId="16" xfId="0" applyBorder="1"/>
    <xf numFmtId="0" fontId="16" fillId="0" borderId="16" xfId="0" applyFont="1" applyBorder="1" applyAlignment="1">
      <alignment horizontal="center"/>
    </xf>
    <xf numFmtId="0" fontId="0" fillId="0" borderId="16" xfId="0" applyBorder="1" applyAlignment="1">
      <alignment horizontal="center"/>
    </xf>
    <xf numFmtId="167" fontId="17" fillId="0" borderId="16" xfId="0" applyNumberFormat="1" applyFont="1" applyBorder="1" applyAlignment="1">
      <alignment horizontal="center"/>
    </xf>
    <xf numFmtId="0" fontId="17" fillId="0" borderId="16" xfId="0" applyFont="1" applyBorder="1"/>
    <xf numFmtId="0" fontId="0" fillId="0" borderId="17" xfId="0" applyBorder="1"/>
    <xf numFmtId="0" fontId="0" fillId="0" borderId="18" xfId="0" applyBorder="1"/>
    <xf numFmtId="15" fontId="17" fillId="0" borderId="17" xfId="0" applyNumberFormat="1" applyFont="1" applyBorder="1"/>
    <xf numFmtId="0" fontId="17" fillId="0" borderId="18" xfId="0" applyFont="1" applyBorder="1"/>
    <xf numFmtId="0" fontId="17" fillId="0" borderId="16" xfId="0" applyFont="1" applyBorder="1" applyAlignment="1">
      <alignment horizontal="center"/>
    </xf>
    <xf numFmtId="2" fontId="16" fillId="0" borderId="16" xfId="0" applyNumberFormat="1" applyFont="1" applyBorder="1" applyAlignment="1">
      <alignment horizontal="center"/>
    </xf>
    <xf numFmtId="0" fontId="17" fillId="0" borderId="18" xfId="0" applyFont="1" applyBorder="1" applyAlignment="1">
      <alignment horizontal="center"/>
    </xf>
    <xf numFmtId="2" fontId="16" fillId="0" borderId="18" xfId="0" applyNumberFormat="1" applyFont="1" applyBorder="1" applyAlignment="1">
      <alignment horizontal="center"/>
    </xf>
    <xf numFmtId="0" fontId="11" fillId="3" borderId="8" xfId="0" applyFont="1" applyFill="1" applyBorder="1" applyAlignment="1">
      <alignment horizontal="left" vertical="center"/>
    </xf>
    <xf numFmtId="0" fontId="11" fillId="3" borderId="4" xfId="0" applyFont="1" applyFill="1" applyBorder="1" applyAlignment="1">
      <alignment horizontal="left" vertical="center"/>
    </xf>
    <xf numFmtId="0" fontId="26" fillId="0" borderId="0" xfId="3" applyFont="1"/>
    <xf numFmtId="0" fontId="27" fillId="0" borderId="0" xfId="1" applyFont="1" applyAlignment="1">
      <alignment horizontal="left"/>
    </xf>
    <xf numFmtId="164" fontId="28" fillId="0" borderId="0" xfId="0" applyNumberFormat="1" applyFont="1" applyAlignment="1">
      <alignment horizontal="center" vertical="center"/>
    </xf>
    <xf numFmtId="0" fontId="21" fillId="0" borderId="0" xfId="0" applyFont="1"/>
    <xf numFmtId="0" fontId="29" fillId="0" borderId="1" xfId="0" applyFont="1" applyBorder="1" applyAlignment="1">
      <alignment horizontal="center" vertical="center"/>
    </xf>
    <xf numFmtId="0" fontId="30" fillId="0" borderId="1" xfId="1" applyFont="1" applyBorder="1" applyAlignment="1">
      <alignment horizontal="center" wrapText="1"/>
    </xf>
    <xf numFmtId="0" fontId="29" fillId="0" borderId="1" xfId="0" applyFont="1" applyBorder="1" applyAlignment="1">
      <alignment horizontal="center" vertical="center" wrapText="1"/>
    </xf>
    <xf numFmtId="14" fontId="30" fillId="0" borderId="0" xfId="0" applyNumberFormat="1" applyFont="1" applyAlignment="1">
      <alignment horizontal="left" vertical="center"/>
    </xf>
    <xf numFmtId="0" fontId="21" fillId="0" borderId="0" xfId="0" applyFont="1" applyAlignment="1">
      <alignment horizontal="center" vertical="center"/>
    </xf>
    <xf numFmtId="14" fontId="29" fillId="0" borderId="0" xfId="0" applyNumberFormat="1" applyFont="1" applyAlignment="1">
      <alignment horizontal="left" vertical="center"/>
    </xf>
    <xf numFmtId="0" fontId="29" fillId="0" borderId="0" xfId="0" applyFont="1" applyAlignment="1">
      <alignment horizontal="left" vertical="center"/>
    </xf>
    <xf numFmtId="14" fontId="21" fillId="0" borderId="0" xfId="0" applyNumberFormat="1" applyFont="1" applyAlignment="1">
      <alignment horizontal="center" vertical="center"/>
    </xf>
    <xf numFmtId="14" fontId="21" fillId="18" borderId="0" xfId="0" applyNumberFormat="1" applyFont="1" applyFill="1" applyAlignment="1">
      <alignment horizontal="center" vertical="center"/>
    </xf>
    <xf numFmtId="0" fontId="21" fillId="0" borderId="0" xfId="0" applyFont="1" applyAlignment="1">
      <alignment horizontal="center"/>
    </xf>
    <xf numFmtId="0" fontId="31" fillId="0" borderId="0" xfId="0" applyFont="1" applyAlignment="1">
      <alignment horizontal="center" vertical="center"/>
    </xf>
    <xf numFmtId="14" fontId="31" fillId="0" borderId="0" xfId="0" applyNumberFormat="1" applyFont="1" applyAlignment="1">
      <alignment horizontal="center" vertical="center"/>
    </xf>
    <xf numFmtId="164" fontId="21" fillId="0" borderId="0" xfId="0" applyNumberFormat="1" applyFont="1" applyAlignment="1">
      <alignment horizontal="center" vertical="center"/>
    </xf>
    <xf numFmtId="14" fontId="28" fillId="0" borderId="0" xfId="0" applyNumberFormat="1" applyFont="1" applyAlignment="1">
      <alignment horizontal="center" vertical="center"/>
    </xf>
    <xf numFmtId="0" fontId="32" fillId="0" borderId="0" xfId="1" applyFont="1" applyAlignment="1">
      <alignment horizontal="center"/>
    </xf>
    <xf numFmtId="0" fontId="31" fillId="0" borderId="1" xfId="0" applyFont="1" applyBorder="1" applyAlignment="1">
      <alignment horizontal="center" vertical="center"/>
    </xf>
    <xf numFmtId="15" fontId="0" fillId="0" borderId="0" xfId="0" applyNumberFormat="1" applyAlignment="1">
      <alignment horizontal="center"/>
    </xf>
    <xf numFmtId="9" fontId="0" fillId="0" borderId="0" xfId="0" applyNumberFormat="1" applyAlignment="1">
      <alignment horizontal="center"/>
    </xf>
    <xf numFmtId="0" fontId="11" fillId="3" borderId="19" xfId="0" applyFont="1" applyFill="1" applyBorder="1" applyAlignment="1">
      <alignment vertical="center"/>
    </xf>
    <xf numFmtId="0" fontId="11" fillId="3" borderId="19" xfId="0" applyFont="1" applyFill="1" applyBorder="1" applyAlignment="1">
      <alignment horizontal="left" vertical="center"/>
    </xf>
    <xf numFmtId="164" fontId="11" fillId="0" borderId="5" xfId="5" applyNumberFormat="1" applyFont="1" applyBorder="1" applyAlignment="1">
      <alignment horizontal="center" vertical="center"/>
    </xf>
    <xf numFmtId="164" fontId="11" fillId="0" borderId="19" xfId="5" applyNumberFormat="1" applyFont="1" applyBorder="1" applyAlignment="1">
      <alignment horizontal="center" vertical="center"/>
    </xf>
    <xf numFmtId="164" fontId="11" fillId="0" borderId="20" xfId="5" applyNumberFormat="1" applyFont="1" applyBorder="1" applyAlignment="1">
      <alignment horizontal="center" vertical="center"/>
    </xf>
    <xf numFmtId="166" fontId="11" fillId="3" borderId="3" xfId="0" applyNumberFormat="1" applyFont="1" applyFill="1" applyBorder="1" applyAlignment="1">
      <alignment horizontal="center" vertical="center"/>
    </xf>
    <xf numFmtId="166" fontId="11" fillId="3" borderId="0" xfId="0" applyNumberFormat="1" applyFont="1" applyFill="1" applyAlignment="1">
      <alignment horizontal="center" vertical="center"/>
    </xf>
    <xf numFmtId="166" fontId="11" fillId="3" borderId="4" xfId="0" applyNumberFormat="1" applyFont="1" applyFill="1" applyBorder="1" applyAlignment="1">
      <alignment horizontal="center" vertical="center"/>
    </xf>
    <xf numFmtId="0" fontId="11" fillId="3" borderId="5" xfId="0" applyFont="1" applyFill="1" applyBorder="1" applyAlignment="1">
      <alignment horizontal="center" vertical="center"/>
    </xf>
  </cellXfs>
  <cellStyles count="6">
    <cellStyle name="BvDAddIn_Currency" xfId="2" xr:uid="{00000000-0005-0000-0000-000000000000}"/>
    <cellStyle name="Hyperlink" xfId="3" builtinId="8"/>
    <cellStyle name="Normal" xfId="0" builtinId="0"/>
    <cellStyle name="Normal 10" xfId="1" xr:uid="{00000000-0005-0000-0000-000003000000}"/>
    <cellStyle name="Normal 4" xfId="4" xr:uid="{00000000-0005-0000-0000-000004000000}"/>
    <cellStyle name="Normal 5" xfId="5" xr:uid="{00000000-0005-0000-0000-000005000000}"/>
  </cellStyles>
  <dxfs count="26">
    <dxf>
      <font>
        <color rgb="FFF60000"/>
      </font>
      <fill>
        <patternFill>
          <bgColor rgb="FFF60000"/>
        </patternFill>
      </fill>
    </dxf>
    <dxf>
      <font>
        <color rgb="FFFF4B4B"/>
      </font>
      <fill>
        <patternFill>
          <bgColor rgb="FFFF4B4B"/>
        </patternFill>
      </fill>
    </dxf>
    <dxf>
      <font>
        <color rgb="FFFF8B8B"/>
      </font>
      <fill>
        <patternFill>
          <bgColor rgb="FFFF8B8B"/>
        </patternFill>
      </fill>
    </dxf>
    <dxf>
      <font>
        <color rgb="FFFFAFAF"/>
      </font>
      <fill>
        <patternFill>
          <bgColor rgb="FFFFAFAF"/>
        </patternFill>
      </fill>
    </dxf>
    <dxf>
      <font>
        <color rgb="FFFFCDCD"/>
      </font>
      <fill>
        <patternFill>
          <bgColor rgb="FFFFCDCD"/>
        </patternFill>
      </fill>
    </dxf>
    <dxf>
      <font>
        <color rgb="FFFFE7E7"/>
      </font>
      <fill>
        <patternFill>
          <bgColor rgb="FFFFE7E7"/>
        </patternFill>
      </fill>
    </dxf>
    <dxf>
      <font>
        <color rgb="FFE6EFFA"/>
      </font>
      <fill>
        <patternFill>
          <bgColor rgb="FFE6EFFA"/>
        </patternFill>
      </fill>
    </dxf>
    <dxf>
      <font>
        <color rgb="FFCBDDF5"/>
      </font>
      <fill>
        <patternFill>
          <bgColor rgb="FFCBDDF5"/>
        </patternFill>
      </fill>
    </dxf>
    <dxf>
      <font>
        <color rgb="FFABC8EF"/>
      </font>
      <fill>
        <patternFill>
          <bgColor rgb="FFABC8EF"/>
        </patternFill>
      </fill>
    </dxf>
    <dxf>
      <font>
        <color rgb="FF8BB3E9"/>
      </font>
      <fill>
        <patternFill>
          <bgColor rgb="FF8BB3E9"/>
        </patternFill>
      </fill>
    </dxf>
    <dxf>
      <font>
        <color rgb="FF649AE2"/>
      </font>
      <fill>
        <patternFill>
          <bgColor rgb="FF649AE2"/>
        </patternFill>
      </fill>
    </dxf>
    <dxf>
      <font>
        <color rgb="FF4183DB"/>
      </font>
      <fill>
        <patternFill>
          <bgColor rgb="FF4183DB"/>
        </patternFill>
      </fill>
    </dxf>
    <dxf>
      <font>
        <color theme="0" tint="-4.88906521805475E-2"/>
      </font>
      <fill>
        <patternFill>
          <bgColor theme="0" tint="-4.88906521805475E-2"/>
        </patternFill>
      </fill>
    </dxf>
    <dxf>
      <font>
        <color rgb="FFF60000"/>
      </font>
      <fill>
        <patternFill>
          <bgColor rgb="FFF60000"/>
        </patternFill>
      </fill>
    </dxf>
    <dxf>
      <font>
        <color rgb="FFFF4B4B"/>
      </font>
      <fill>
        <patternFill>
          <bgColor rgb="FFFF4B4B"/>
        </patternFill>
      </fill>
    </dxf>
    <dxf>
      <font>
        <color rgb="FFFF8B8B"/>
      </font>
      <fill>
        <patternFill>
          <bgColor rgb="FFFF8B8B"/>
        </patternFill>
      </fill>
    </dxf>
    <dxf>
      <font>
        <color rgb="FFFFAFAF"/>
      </font>
      <fill>
        <patternFill>
          <bgColor rgb="FFFFAFAF"/>
        </patternFill>
      </fill>
    </dxf>
    <dxf>
      <font>
        <color rgb="FFFFCDCD"/>
      </font>
      <fill>
        <patternFill>
          <bgColor rgb="FFFFCDCD"/>
        </patternFill>
      </fill>
    </dxf>
    <dxf>
      <font>
        <color rgb="FFFFE7E7"/>
      </font>
      <fill>
        <patternFill>
          <bgColor rgb="FFFFE7E7"/>
        </patternFill>
      </fill>
    </dxf>
    <dxf>
      <font>
        <color rgb="FFE6EFFA"/>
      </font>
      <fill>
        <patternFill>
          <bgColor rgb="FFE6EFFA"/>
        </patternFill>
      </fill>
    </dxf>
    <dxf>
      <font>
        <color rgb="FFCBDDF5"/>
      </font>
      <fill>
        <patternFill>
          <bgColor rgb="FFCBDDF5"/>
        </patternFill>
      </fill>
    </dxf>
    <dxf>
      <font>
        <color rgb="FFABC8EF"/>
      </font>
      <fill>
        <patternFill>
          <bgColor rgb="FFABC8EF"/>
        </patternFill>
      </fill>
    </dxf>
    <dxf>
      <font>
        <color rgb="FF8BB3E9"/>
      </font>
      <fill>
        <patternFill>
          <bgColor rgb="FF8BB3E9"/>
        </patternFill>
      </fill>
    </dxf>
    <dxf>
      <font>
        <color rgb="FF649AE2"/>
      </font>
      <fill>
        <patternFill>
          <bgColor rgb="FF649AE2"/>
        </patternFill>
      </fill>
    </dxf>
    <dxf>
      <font>
        <color rgb="FF4183DB"/>
      </font>
      <fill>
        <patternFill>
          <bgColor rgb="FF4183DB"/>
        </patternFill>
      </fill>
    </dxf>
    <dxf>
      <font>
        <color theme="0" tint="-4.88906521805475E-2"/>
      </font>
      <fill>
        <patternFill>
          <bgColor theme="0" tint="-4.88906521805475E-2"/>
        </patternFill>
      </fill>
    </dxf>
  </dxfs>
  <tableStyles count="0" defaultTableStyle="TableStyleMedium2" defaultPivotStyle="PivotStyleMedium9"/>
  <colors>
    <mruColors>
      <color rgb="FF003299"/>
      <color rgb="FFFF4B00"/>
      <color rgb="FF003899"/>
      <color rgb="FF535353"/>
      <color rgb="FF65B800"/>
      <color rgb="FF00B1EA"/>
      <color rgb="FFFFB400"/>
      <color rgb="FFF60000"/>
      <color rgb="FF777777"/>
      <color rgb="FF4183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8597808641975308"/>
          <c:w val="0.86834246342846211"/>
          <c:h val="0.74059691358024693"/>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Main!$H$16:$H$18</c:f>
              <c:numCache>
                <c:formatCode>0.0</c:formatCode>
                <c:ptCount val="3"/>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4"/>
          <c:order val="2"/>
          <c:tx>
            <c:strRef>
              <c:f>Main!$L$2</c:f>
              <c:strCache>
                <c:ptCount val="1"/>
                <c:pt idx="0">
                  <c:v>DFM (11 Sep.)</c:v>
                </c:pt>
              </c:strCache>
              <c:extLst xmlns:c15="http://schemas.microsoft.com/office/drawing/2012/chart"/>
            </c:strRef>
          </c:tx>
          <c:spPr>
            <a:ln w="28575">
              <a:noFill/>
            </a:ln>
          </c:spPr>
          <c:marker>
            <c:symbol val="diamond"/>
            <c:size val="10"/>
            <c:spPr>
              <a:solidFill>
                <a:srgbClr val="FFFFFF"/>
              </a:solidFill>
              <a:ln w="25400">
                <a:solidFill>
                  <a:srgbClr val="FF4B00"/>
                </a:solidFill>
              </a:ln>
            </c:spPr>
          </c:marker>
          <c:cat>
            <c:strRef>
              <c:f>Main!$F$16:$F$20</c:f>
              <c:strCache>
                <c:ptCount val="5"/>
                <c:pt idx="0">
                  <c:v>2022Q4</c:v>
                </c:pt>
                <c:pt idx="1">
                  <c:v>2023Q1</c:v>
                </c:pt>
                <c:pt idx="2">
                  <c:v>2023Q2</c:v>
                </c:pt>
                <c:pt idx="3">
                  <c:v>2023Q3</c:v>
                </c:pt>
                <c:pt idx="4">
                  <c:v>2023Q4</c:v>
                </c:pt>
              </c:strCache>
              <c:extLst/>
            </c:strRef>
          </c:cat>
          <c:val>
            <c:numRef>
              <c:f>Main!$L$16:$L$20</c:f>
              <c:numCache>
                <c:formatCode>General</c:formatCode>
                <c:ptCount val="5"/>
                <c:pt idx="3" formatCode="0.0">
                  <c:v>0.80642123224726514</c:v>
                </c:pt>
                <c:pt idx="4" formatCode="0.0">
                  <c:v>0.82494411288715996</c:v>
                </c:pt>
              </c:numCache>
              <c:extLst/>
            </c:numRef>
          </c:val>
          <c:smooth val="0"/>
          <c:extLst xmlns:c15="http://schemas.microsoft.com/office/drawing/2012/chart">
            <c:ext xmlns:c16="http://schemas.microsoft.com/office/drawing/2014/chart" uri="{C3380CC4-5D6E-409C-BE32-E72D297353CC}">
              <c16:uniqueId val="{00000007-3C81-4C28-B60A-7E6921B144F9}"/>
            </c:ext>
          </c:extLst>
        </c:ser>
        <c:ser>
          <c:idx val="3"/>
          <c:order val="3"/>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003299"/>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1"/>
          <c:order val="4"/>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3-7885-4915-9EE2-74DDEAC0CA5A}"/>
            </c:ext>
          </c:extLst>
        </c:ser>
        <c:dLbls>
          <c:showLegendKey val="0"/>
          <c:showVal val="0"/>
          <c:showCatName val="0"/>
          <c:showSerName val="0"/>
          <c:showPercent val="0"/>
          <c:showBubbleSize val="0"/>
        </c:dLbls>
        <c:marker val="1"/>
        <c:smooth val="0"/>
        <c:axId val="186720256"/>
        <c:axId val="192532992"/>
        <c:extLst>
          <c:ext xmlns:c15="http://schemas.microsoft.com/office/drawing/2012/chart" uri="{02D57815-91ED-43cb-92C2-25804820EDAC}">
            <c15:filteredLineSeries>
              <c15:ser>
                <c:idx val="2"/>
                <c:order val="1"/>
                <c:tx>
                  <c:strRef>
                    <c:extLst>
                      <c:ext uri="{02D57815-91ED-43cb-92C2-25804820EDAC}">
                        <c15:formulaRef>
                          <c15:sqref>Main!$I$2</c15:sqref>
                        </c15:formulaRef>
                      </c:ext>
                    </c:extLst>
                    <c:strCache>
                      <c:ptCount val="1"/>
                      <c:pt idx="0">
                        <c:v>DFM (12 Sep.)</c:v>
                      </c:pt>
                    </c:strCache>
                  </c:strRef>
                </c:tx>
                <c:spPr>
                  <a:ln w="28575" cap="rnd" cmpd="sng" algn="ctr">
                    <a:noFill/>
                    <a:prstDash val="solid"/>
                    <a:round/>
                    <a:headEnd type="none" w="med" len="med"/>
                    <a:tailEnd type="none" w="med" len="med"/>
                  </a:ln>
                  <a:effectLst/>
                </c:spPr>
                <c:marker>
                  <c:symbol val="diamond"/>
                  <c:size val="10"/>
                  <c:spPr>
                    <a:solidFill>
                      <a:schemeClr val="bg1"/>
                    </a:solidFill>
                    <a:ln w="25400" cap="rnd" cmpd="sng" algn="ctr">
                      <a:solidFill>
                        <a:srgbClr val="00B1EA"/>
                      </a:solidFill>
                      <a:prstDash val="solid"/>
                      <a:round/>
                      <a:headEnd type="none" w="med" len="med"/>
                      <a:tailEnd type="none" w="med" len="med"/>
                    </a:ln>
                    <a:effectLst/>
                  </c:spPr>
                </c:marker>
                <c:cat>
                  <c:strRef>
                    <c:extLst>
                      <c:ext uri="{02D57815-91ED-43cb-92C2-25804820EDAC}">
                        <c15:formulaRef>
                          <c15:sqref>Main!$F$16:$F$20</c15:sqref>
                        </c15:formulaRef>
                      </c:ext>
                    </c:extLst>
                    <c:strCache>
                      <c:ptCount val="5"/>
                      <c:pt idx="0">
                        <c:v>2022Q4</c:v>
                      </c:pt>
                      <c:pt idx="1">
                        <c:v>2023Q1</c:v>
                      </c:pt>
                      <c:pt idx="2">
                        <c:v>2023Q2</c:v>
                      </c:pt>
                      <c:pt idx="3">
                        <c:v>2023Q3</c:v>
                      </c:pt>
                      <c:pt idx="4">
                        <c:v>2023Q4</c:v>
                      </c:pt>
                    </c:strCache>
                  </c:strRef>
                </c:cat>
                <c:val>
                  <c:numLit>
                    <c:ptCount val="0"/>
                  </c:numLit>
                </c:val>
                <c:smooth val="0"/>
                <c:extLst>
                  <c:ext xmlns:c16="http://schemas.microsoft.com/office/drawing/2014/chart" uri="{C3380CC4-5D6E-409C-BE32-E72D297353CC}">
                    <c16:uniqueId val="{00000001-3C81-4C28-B60A-7E6921B144F9}"/>
                  </c:ext>
                </c:extLst>
              </c15:ser>
            </c15:filteredLineSeries>
          </c:ext>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ayout>
        <c:manualLayout>
          <c:xMode val="edge"/>
          <c:yMode val="edge"/>
          <c:x val="8.8565000000000005E-2"/>
          <c:y val="2.2805217344439663E-3"/>
          <c:w val="0.87221194444444428"/>
          <c:h val="0.17933708646356541"/>
        </c:manualLayout>
      </c:layout>
      <c:overlay val="0"/>
      <c:spPr>
        <a:noFill/>
        <a:ln w="25400">
          <a:noFill/>
        </a:ln>
        <a:effectLst/>
      </c:spPr>
      <c:txPr>
        <a:bodyPr rot="0" vert="horz"/>
        <a:lstStyle/>
        <a:p>
          <a:pPr>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5943395550374784"/>
          <c:w val="0.86834246342846211"/>
          <c:h val="0.76714113729630562"/>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1"/>
          <c:order val="1"/>
          <c:tx>
            <c:strRef>
              <c:f>Main!$V$2</c:f>
              <c:strCache>
                <c:ptCount val="1"/>
                <c:pt idx="0">
                  <c:v>No Group 1</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Main!$V$16:$V$20</c:f>
              <c:numCache>
                <c:formatCode>General</c:formatCode>
                <c:ptCount val="5"/>
                <c:pt idx="3" formatCode="0.0">
                  <c:v>0.94593492232226339</c:v>
                </c:pt>
                <c:pt idx="4" formatCode="0.0">
                  <c:v>1.1696700450167241E-3</c:v>
                </c:pt>
              </c:numCache>
              <c:extLst/>
            </c:numRef>
          </c:val>
          <c:smooth val="0"/>
          <c:extLst>
            <c:ext xmlns:c16="http://schemas.microsoft.com/office/drawing/2014/chart" uri="{C3380CC4-5D6E-409C-BE32-E72D297353CC}">
              <c16:uniqueId val="{00000003-31AF-47A3-A723-7E5A49ACD032}"/>
            </c:ext>
          </c:extLst>
        </c:ser>
        <c:ser>
          <c:idx val="4"/>
          <c:order val="2"/>
          <c:tx>
            <c:strRef>
              <c:f>Main!$W$2</c:f>
              <c:strCache>
                <c:ptCount val="1"/>
                <c:pt idx="0">
                  <c:v>No Group 2</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Main!$W$16:$W$20</c:f>
              <c:numCache>
                <c:formatCode>General</c:formatCode>
                <c:ptCount val="5"/>
                <c:pt idx="3" formatCode="0.0">
                  <c:v>0.92556395177594819</c:v>
                </c:pt>
                <c:pt idx="4" formatCode="0.0">
                  <c:v>0.32425794719983647</c:v>
                </c:pt>
              </c:numCache>
              <c:extLst/>
            </c:numRef>
          </c:val>
          <c:smooth val="0"/>
          <c:extLst>
            <c:ext xmlns:c16="http://schemas.microsoft.com/office/drawing/2014/chart" uri="{C3380CC4-5D6E-409C-BE32-E72D297353CC}">
              <c16:uniqueId val="{00000004-31AF-47A3-A723-7E5A49ACD032}"/>
            </c:ext>
          </c:extLst>
        </c:ser>
        <c:ser>
          <c:idx val="5"/>
          <c:order val="3"/>
          <c:tx>
            <c:strRef>
              <c:f>Main!$X$2</c:f>
              <c:strCache>
                <c:ptCount val="1"/>
                <c:pt idx="0">
                  <c:v>No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Main!$X$16:$X$20</c:f>
              <c:numCache>
                <c:formatCode>General</c:formatCode>
                <c:ptCount val="5"/>
                <c:pt idx="3" formatCode="0.0">
                  <c:v>0.63942374820899262</c:v>
                </c:pt>
                <c:pt idx="4" formatCode="0.0">
                  <c:v>0.59807329952981025</c:v>
                </c:pt>
              </c:numCache>
              <c:extLst/>
            </c:numRef>
          </c:val>
          <c:smooth val="0"/>
          <c:extLst>
            <c:ext xmlns:c16="http://schemas.microsoft.com/office/drawing/2014/chart" uri="{C3380CC4-5D6E-409C-BE32-E72D297353CC}">
              <c16:uniqueId val="{00000005-31AF-47A3-A723-7E5A49ACD032}"/>
            </c:ext>
          </c:extLst>
        </c:ser>
        <c:ser>
          <c:idx val="6"/>
          <c:order val="4"/>
          <c:tx>
            <c:strRef>
              <c:f>Main!$Y$2</c:f>
              <c:strCache>
                <c:ptCount val="1"/>
                <c:pt idx="0">
                  <c:v>No Group 1 and Group 2</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Main!$Y$16:$Y$20</c:f>
              <c:numCache>
                <c:formatCode>General</c:formatCode>
                <c:ptCount val="5"/>
                <c:pt idx="3" formatCode="0.0">
                  <c:v>0.92134737842481385</c:v>
                </c:pt>
                <c:pt idx="4" formatCode="0.0">
                  <c:v>-4.3240353800786113E-2</c:v>
                </c:pt>
              </c:numCache>
              <c:extLst/>
            </c:numRef>
          </c:val>
          <c:smooth val="0"/>
          <c:extLst>
            <c:ext xmlns:c16="http://schemas.microsoft.com/office/drawing/2014/chart" uri="{C3380CC4-5D6E-409C-BE32-E72D297353CC}">
              <c16:uniqueId val="{00000006-31AF-47A3-A723-7E5A49ACD032}"/>
            </c:ext>
          </c:extLst>
        </c:ser>
        <c:ser>
          <c:idx val="7"/>
          <c:order val="5"/>
          <c:tx>
            <c:strRef>
              <c:f>Main!$Z$2</c:f>
              <c:strCache>
                <c:ptCount val="1"/>
                <c:pt idx="0">
                  <c:v>No Group 1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Main!$Z$16:$Z$20</c:f>
              <c:numCache>
                <c:formatCode>General</c:formatCode>
                <c:ptCount val="5"/>
                <c:pt idx="3" formatCode="0.0">
                  <c:v>0.6817992691431648</c:v>
                </c:pt>
                <c:pt idx="4" formatCode="0.0">
                  <c:v>0.62939931376445468</c:v>
                </c:pt>
              </c:numCache>
              <c:extLst/>
            </c:numRef>
          </c:val>
          <c:smooth val="0"/>
          <c:extLst>
            <c:ext xmlns:c16="http://schemas.microsoft.com/office/drawing/2014/chart" uri="{C3380CC4-5D6E-409C-BE32-E72D297353CC}">
              <c16:uniqueId val="{00000007-31AF-47A3-A723-7E5A49ACD032}"/>
            </c:ext>
          </c:extLst>
        </c:ser>
        <c:ser>
          <c:idx val="8"/>
          <c:order val="6"/>
          <c:tx>
            <c:strRef>
              <c:f>Main!$AA$2</c:f>
              <c:strCache>
                <c:ptCount val="1"/>
                <c:pt idx="0">
                  <c:v>No Group 2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Main!$AA$16:$AA$20</c:f>
              <c:numCache>
                <c:formatCode>General</c:formatCode>
                <c:ptCount val="5"/>
                <c:pt idx="3" formatCode="0.0">
                  <c:v>-8.5098149328051764E-2</c:v>
                </c:pt>
                <c:pt idx="4" formatCode="0.0">
                  <c:v>0.39457613451002643</c:v>
                </c:pt>
              </c:numCache>
              <c:extLst/>
            </c:numRef>
          </c:val>
          <c:smooth val="0"/>
          <c:extLst>
            <c:ext xmlns:c16="http://schemas.microsoft.com/office/drawing/2014/chart" uri="{C3380CC4-5D6E-409C-BE32-E72D297353CC}">
              <c16:uniqueId val="{00000008-31AF-47A3-A723-7E5A49ACD032}"/>
            </c:ext>
          </c:extLst>
        </c:ser>
        <c:ser>
          <c:idx val="3"/>
          <c:order val="7"/>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FF4B00"/>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2"/>
          <c:order val="8"/>
          <c:tx>
            <c:strRef>
              <c:f>Main!$I$2</c:f>
              <c:strCache>
                <c:ptCount val="1"/>
                <c:pt idx="0">
                  <c:v>DFM (12 Sep.)</c:v>
                </c:pt>
              </c:strCache>
            </c:strRef>
          </c:tx>
          <c:spPr>
            <a:ln w="28575" cap="rnd" cmpd="sng" algn="ctr">
              <a:noFill/>
              <a:prstDash val="solid"/>
              <a:round/>
              <a:headEnd type="none" w="med" len="med"/>
              <a:tailEnd type="none" w="med" len="med"/>
            </a:ln>
            <a:effectLst/>
          </c:spPr>
          <c:marker>
            <c:symbol val="circle"/>
            <c:size val="9"/>
            <c:spPr>
              <a:solidFill>
                <a:srgbClr val="FFB400"/>
              </a:solidFill>
              <a:ln w="25400"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1-3C81-4C28-B60A-7E6921B144F9}"/>
            </c:ext>
          </c:extLst>
        </c:ser>
        <c:ser>
          <c:idx val="24"/>
          <c:order val="9"/>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0-3C6C-451D-A062-27003F2DB7F0}"/>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egendEntry>
        <c:idx val="1"/>
        <c:delete val="1"/>
      </c:legendEntry>
      <c:legendEntry>
        <c:idx val="2"/>
        <c:delete val="1"/>
      </c:legendEntry>
      <c:legendEntry>
        <c:idx val="3"/>
        <c:delete val="1"/>
      </c:legendEntry>
      <c:legendEntry>
        <c:idx val="4"/>
        <c:delete val="1"/>
      </c:legendEntry>
      <c:legendEntry>
        <c:idx val="5"/>
        <c:delete val="1"/>
      </c:legendEntry>
      <c:legendEntry>
        <c:idx val="6"/>
        <c:delete val="1"/>
      </c:legendEntry>
      <c:layout>
        <c:manualLayout>
          <c:xMode val="edge"/>
          <c:yMode val="edge"/>
          <c:x val="0.10267611111111111"/>
          <c:y val="3.0518318754448907E-3"/>
          <c:w val="0.60451833333333338"/>
          <c:h val="0.14483302469135803"/>
        </c:manualLayout>
      </c:layout>
      <c:overlay val="0"/>
      <c:spPr>
        <a:noFill/>
        <a:ln w="25400">
          <a:noFill/>
        </a:ln>
        <a:effectLst/>
      </c:spPr>
      <c:txPr>
        <a:bodyPr rot="0" vert="horz"/>
        <a:lstStyle/>
        <a:p>
          <a:pPr>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4926381110942941"/>
          <c:w val="0.86834246342846211"/>
          <c:h val="0.7773110337520811"/>
        </c:manualLayout>
      </c:layout>
      <c:barChart>
        <c:barDir val="col"/>
        <c:grouping val="stack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2-3982-415F-8608-EC5CBD5BB099}"/>
            </c:ext>
          </c:extLst>
        </c:ser>
        <c:ser>
          <c:idx val="1"/>
          <c:order val="1"/>
          <c:tx>
            <c:v>Mean Absolute Error (MAE) range</c:v>
          </c:tx>
          <c:spPr>
            <a:noFill/>
            <a:ln w="22225" cap="sq">
              <a:noFill/>
              <a:prstDash val="dash"/>
              <a:round/>
            </a:ln>
          </c:spPr>
          <c:invertIfNegative val="0"/>
          <c:cat>
            <c:strRef>
              <c:f>Main!$F$16:$F$21</c:f>
              <c:strCache>
                <c:ptCount val="5"/>
                <c:pt idx="0">
                  <c:v>2022Q4</c:v>
                </c:pt>
                <c:pt idx="1">
                  <c:v>2023Q1</c:v>
                </c:pt>
                <c:pt idx="2">
                  <c:v>2023Q2</c:v>
                </c:pt>
                <c:pt idx="3">
                  <c:v>2023Q3</c:v>
                </c:pt>
                <c:pt idx="4">
                  <c:v>2023Q4</c:v>
                </c:pt>
              </c:strCache>
              <c:extLst/>
            </c:strRef>
          </c:cat>
          <c:val>
            <c:numRef>
              <c:f>Main!$J$16:$J$20</c:f>
              <c:numCache>
                <c:formatCode>0.0</c:formatCode>
                <c:ptCount val="5"/>
                <c:pt idx="2">
                  <c:v>1.0249591505189899</c:v>
                </c:pt>
                <c:pt idx="3">
                  <c:v>0.43832308507790929</c:v>
                </c:pt>
                <c:pt idx="4">
                  <c:v>0.21220727960665564</c:v>
                </c:pt>
              </c:numCache>
              <c:extLst/>
            </c:numRef>
          </c:val>
          <c:extLst>
            <c:ext xmlns:c16="http://schemas.microsoft.com/office/drawing/2014/chart" uri="{C3380CC4-5D6E-409C-BE32-E72D297353CC}">
              <c16:uniqueId val="{00000000-3982-415F-8608-EC5CBD5BB099}"/>
            </c:ext>
          </c:extLst>
        </c:ser>
        <c:ser>
          <c:idx val="6"/>
          <c:order val="2"/>
          <c:tx>
            <c:strRef>
              <c:f>Main!$K$2</c:f>
              <c:strCache>
                <c:ptCount val="1"/>
                <c:pt idx="0">
                  <c:v>2 * MAE</c:v>
                </c:pt>
              </c:strCache>
            </c:strRef>
          </c:tx>
          <c:spPr>
            <a:solidFill>
              <a:schemeClr val="bg1">
                <a:lumMod val="85000"/>
              </a:schemeClr>
            </a:solidFill>
            <a:ln w="22225" cap="sq">
              <a:noFill/>
              <a:prstDash val="dash"/>
            </a:ln>
          </c:spPr>
          <c:invertIfNegative val="0"/>
          <c:cat>
            <c:strRef>
              <c:f>Main!$F$16:$F$21</c:f>
              <c:strCache>
                <c:ptCount val="5"/>
                <c:pt idx="0">
                  <c:v>2022Q4</c:v>
                </c:pt>
                <c:pt idx="1">
                  <c:v>2023Q1</c:v>
                </c:pt>
                <c:pt idx="2">
                  <c:v>2023Q2</c:v>
                </c:pt>
                <c:pt idx="3">
                  <c:v>2023Q3</c:v>
                </c:pt>
                <c:pt idx="4">
                  <c:v>2023Q4</c:v>
                </c:pt>
              </c:strCache>
              <c:extLst/>
            </c:strRef>
          </c:cat>
          <c:val>
            <c:numRef>
              <c:f>Main!$K$16:$K$20</c:f>
              <c:numCache>
                <c:formatCode>0.0</c:formatCode>
                <c:ptCount val="5"/>
                <c:pt idx="3">
                  <c:v>0.58228085879287828</c:v>
                </c:pt>
                <c:pt idx="4">
                  <c:v>0.68639428543943826</c:v>
                </c:pt>
              </c:numCache>
              <c:extLst/>
            </c:numRef>
          </c:val>
          <c:extLst>
            <c:ext xmlns:c16="http://schemas.microsoft.com/office/drawing/2014/chart" uri="{C3380CC4-5D6E-409C-BE32-E72D297353CC}">
              <c16:uniqueId val="{00000001-3982-415F-8608-EC5CBD5BB099}"/>
            </c:ext>
          </c:extLst>
        </c:ser>
        <c:dLbls>
          <c:showLegendKey val="0"/>
          <c:showVal val="0"/>
          <c:showCatName val="0"/>
          <c:showSerName val="0"/>
          <c:showPercent val="0"/>
          <c:showBubbleSize val="0"/>
        </c:dLbls>
        <c:gapWidth val="75"/>
        <c:overlap val="100"/>
        <c:axId val="186720256"/>
        <c:axId val="192532992"/>
      </c:barChart>
      <c:lineChart>
        <c:grouping val="standard"/>
        <c:varyColors val="0"/>
        <c:ser>
          <c:idx val="3"/>
          <c:order val="3"/>
          <c:tx>
            <c:strRef>
              <c:f>DFM_BMPE!#REF!</c:f>
              <c:strCache>
                <c:ptCount val="1"/>
                <c:pt idx="0">
                  <c:v>#REF!</c:v>
                </c:pt>
              </c:strCache>
            </c:strRef>
          </c:tx>
          <c:spPr>
            <a:ln>
              <a:noFill/>
            </a:ln>
            <a:effectLst/>
          </c:spPr>
          <c:marker>
            <c:symbol val="dash"/>
            <c:size val="16"/>
            <c:spPr>
              <a:solidFill>
                <a:srgbClr val="003299"/>
              </a:solidFill>
              <a:ln w="25400">
                <a:noFill/>
              </a:ln>
            </c:spPr>
          </c:marker>
          <c:cat>
            <c:strRef>
              <c:f>Main!$F$16:$F$20</c:f>
              <c:strCache>
                <c:ptCount val="5"/>
                <c:pt idx="0">
                  <c:v>2022Q4</c:v>
                </c:pt>
                <c:pt idx="1">
                  <c:v>2023Q1</c:v>
                </c:pt>
                <c:pt idx="2">
                  <c:v>2023Q2</c:v>
                </c:pt>
                <c:pt idx="3">
                  <c:v>2023Q3</c:v>
                </c:pt>
                <c:pt idx="4">
                  <c:v>2023Q4</c:v>
                </c:pt>
              </c:strCache>
              <c:extLst/>
            </c:strRef>
          </c:cat>
          <c:val>
            <c:numRef>
              <c:f>DFM_BMPE!#REF!</c:f>
            </c:numRef>
          </c:val>
          <c:smooth val="0"/>
          <c:extLst>
            <c:ext xmlns:c16="http://schemas.microsoft.com/office/drawing/2014/chart" uri="{C3380CC4-5D6E-409C-BE32-E72D297353CC}">
              <c16:uniqueId val="{00000003-3982-415F-8608-EC5CBD5BB099}"/>
            </c:ext>
          </c:extLst>
        </c:ser>
        <c:ser>
          <c:idx val="4"/>
          <c:order val="4"/>
          <c:tx>
            <c:strRef>
              <c:f>Main!$L$2</c:f>
              <c:strCache>
                <c:ptCount val="1"/>
                <c:pt idx="0">
                  <c:v>DFM (11 Sep.)</c:v>
                </c:pt>
              </c:strCache>
              <c:extLst xmlns:c15="http://schemas.microsoft.com/office/drawing/2012/chart"/>
            </c:strRef>
          </c:tx>
          <c:spPr>
            <a:ln>
              <a:noFill/>
            </a:ln>
          </c:spPr>
          <c:marker>
            <c:symbol val="diamond"/>
            <c:size val="10"/>
            <c:spPr>
              <a:noFill/>
              <a:ln w="25400">
                <a:solidFill>
                  <a:srgbClr val="F60000"/>
                </a:solidFill>
              </a:ln>
            </c:spPr>
          </c:marker>
          <c:cat>
            <c:strRef>
              <c:f>Main!$F$16:$F$20</c:f>
              <c:strCache>
                <c:ptCount val="5"/>
                <c:pt idx="0">
                  <c:v>2022Q4</c:v>
                </c:pt>
                <c:pt idx="1">
                  <c:v>2023Q1</c:v>
                </c:pt>
                <c:pt idx="2">
                  <c:v>2023Q2</c:v>
                </c:pt>
                <c:pt idx="3">
                  <c:v>2023Q3</c:v>
                </c:pt>
                <c:pt idx="4">
                  <c:v>2023Q4</c:v>
                </c:pt>
              </c:strCache>
              <c:extLst/>
            </c:strRef>
          </c:cat>
          <c:val>
            <c:numRef>
              <c:f>Main!$L$16:$L$20</c:f>
              <c:numCache>
                <c:formatCode>General</c:formatCode>
                <c:ptCount val="5"/>
                <c:pt idx="3" formatCode="0.0">
                  <c:v>0.80642123224726514</c:v>
                </c:pt>
                <c:pt idx="4" formatCode="0.0">
                  <c:v>0.82494411288715996</c:v>
                </c:pt>
              </c:numCache>
              <c:extLst/>
            </c:numRef>
          </c:val>
          <c:smooth val="0"/>
          <c:extLst xmlns:c15="http://schemas.microsoft.com/office/drawing/2012/chart">
            <c:ext xmlns:c16="http://schemas.microsoft.com/office/drawing/2014/chart" uri="{C3380CC4-5D6E-409C-BE32-E72D297353CC}">
              <c16:uniqueId val="{00000004-3982-415F-8608-EC5CBD5BB099}"/>
            </c:ext>
          </c:extLst>
        </c:ser>
        <c:ser>
          <c:idx val="2"/>
          <c:order val="5"/>
          <c:tx>
            <c:strRef>
              <c:f>Main!$I$2</c:f>
              <c:strCache>
                <c:ptCount val="1"/>
                <c:pt idx="0">
                  <c:v>DFM (12 Sep.)</c:v>
                </c:pt>
              </c:strCache>
            </c:strRef>
          </c:tx>
          <c:spPr>
            <a:ln>
              <a:noFill/>
            </a:ln>
            <a:effectLst/>
          </c:spPr>
          <c:marker>
            <c:symbol val="diamond"/>
            <c:size val="10"/>
            <c:spPr>
              <a:noFill/>
              <a:ln w="25400">
                <a:solidFill>
                  <a:srgbClr val="00B1EA"/>
                </a:solidFill>
              </a:ln>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5-3982-415F-8608-EC5CBD5BB099}"/>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valAx>
      <c:spPr>
        <a:solidFill>
          <a:srgbClr val="FFFFFF"/>
        </a:solidFill>
        <a:ln>
          <a:noFill/>
        </a:ln>
        <a:effectLst/>
      </c:spPr>
    </c:plotArea>
    <c:legend>
      <c:legendPos val="r"/>
      <c:legendEntry>
        <c:idx val="0"/>
        <c:delete val="1"/>
      </c:legendEntry>
      <c:legendEntry>
        <c:idx val="1"/>
        <c:delete val="1"/>
      </c:legendEntry>
      <c:layout>
        <c:manualLayout>
          <c:xMode val="edge"/>
          <c:yMode val="edge"/>
          <c:x val="3.175E-2"/>
          <c:y val="1.5377160493827161E-2"/>
          <c:w val="0.9400277777777778"/>
          <c:h val="0.13355259573179959"/>
        </c:manualLayout>
      </c:layou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5943395550374784"/>
          <c:w val="0.86834246342846211"/>
          <c:h val="0.76714113729630562"/>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8"/>
          <c:order val="1"/>
          <c:tx>
            <c:strRef>
              <c:f>Main!$AA$2</c:f>
              <c:strCache>
                <c:ptCount val="1"/>
                <c:pt idx="0">
                  <c:v>No Group 2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Main!$AA$16:$AA$20</c:f>
              <c:numCache>
                <c:formatCode>General</c:formatCode>
                <c:ptCount val="5"/>
                <c:pt idx="3" formatCode="0.0">
                  <c:v>-8.5098149328051764E-2</c:v>
                </c:pt>
                <c:pt idx="4" formatCode="0.0">
                  <c:v>0.39457613451002643</c:v>
                </c:pt>
              </c:numCache>
              <c:extLst/>
            </c:numRef>
          </c:val>
          <c:smooth val="0"/>
          <c:extLst>
            <c:ext xmlns:c16="http://schemas.microsoft.com/office/drawing/2014/chart" uri="{C3380CC4-5D6E-409C-BE32-E72D297353CC}">
              <c16:uniqueId val="{00000008-31AF-47A3-A723-7E5A49ACD032}"/>
            </c:ext>
          </c:extLst>
        </c:ser>
        <c:ser>
          <c:idx val="3"/>
          <c:order val="2"/>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FF4B00"/>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2"/>
          <c:order val="3"/>
          <c:tx>
            <c:strRef>
              <c:f>Main!$I$2</c:f>
              <c:strCache>
                <c:ptCount val="1"/>
                <c:pt idx="0">
                  <c:v>DFM (12 Sep.)</c:v>
                </c:pt>
              </c:strCache>
            </c:strRef>
          </c:tx>
          <c:spPr>
            <a:ln w="28575" cap="rnd" cmpd="sng" algn="ctr">
              <a:noFill/>
              <a:prstDash val="solid"/>
              <a:round/>
              <a:headEnd type="none" w="med" len="med"/>
              <a:tailEnd type="none" w="med" len="med"/>
            </a:ln>
            <a:effectLst/>
          </c:spPr>
          <c:marker>
            <c:symbol val="circle"/>
            <c:size val="9"/>
            <c:spPr>
              <a:solidFill>
                <a:srgbClr val="FFB400"/>
              </a:solidFill>
              <a:ln w="25400"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1-3C81-4C28-B60A-7E6921B144F9}"/>
            </c:ext>
          </c:extLst>
        </c:ser>
        <c:ser>
          <c:idx val="24"/>
          <c:order val="4"/>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0-3C6C-451D-A062-27003F2DB7F0}"/>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ayout>
        <c:manualLayout>
          <c:xMode val="edge"/>
          <c:yMode val="edge"/>
          <c:x val="0.05"/>
          <c:y val="2.3518518518518518E-2"/>
          <c:w val="0.9"/>
          <c:h val="8.9956481481481498E-2"/>
        </c:manualLayout>
      </c:layou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3829629629629628"/>
          <c:w val="0.87447694444444446"/>
          <c:h val="0.69514629629629632"/>
        </c:manualLayout>
      </c:layout>
      <c:barChart>
        <c:barDir val="col"/>
        <c:grouping val="stacked"/>
        <c:varyColors val="0"/>
        <c:ser>
          <c:idx val="2"/>
          <c:order val="0"/>
          <c:tx>
            <c:strRef>
              <c:f>Contributions!$A$7</c:f>
              <c:strCache>
                <c:ptCount val="1"/>
                <c:pt idx="0">
                  <c:v>Mean</c:v>
                </c:pt>
              </c:strCache>
            </c:strRef>
          </c:tx>
          <c:spPr>
            <a:solidFill>
              <a:schemeClr val="bg1">
                <a:lumMod val="85000"/>
              </a:schemeClr>
            </a:solidFill>
            <a:ln>
              <a:noFill/>
            </a:ln>
            <a:effectLst/>
          </c:spPr>
          <c:invertIfNegative val="0"/>
          <c:cat>
            <c:strRef>
              <c:f>Contributions!$B$1:$C$1</c:f>
              <c:strCache>
                <c:ptCount val="2"/>
                <c:pt idx="0">
                  <c:v>2023Q3</c:v>
                </c:pt>
                <c:pt idx="1">
                  <c:v>2023Q4</c:v>
                </c:pt>
              </c:strCache>
            </c:strRef>
          </c:cat>
          <c:val>
            <c:numRef>
              <c:f>Contributions!$B$7:$C$7</c:f>
              <c:numCache>
                <c:formatCode>General</c:formatCode>
                <c:ptCount val="2"/>
              </c:numCache>
            </c:numRef>
          </c:val>
          <c:extLst>
            <c:ext xmlns:c16="http://schemas.microsoft.com/office/drawing/2014/chart" uri="{C3380CC4-5D6E-409C-BE32-E72D297353CC}">
              <c16:uniqueId val="{00000004-4927-4A1F-B9E5-0C30277E1A29}"/>
            </c:ext>
          </c:extLst>
        </c:ser>
        <c:ser>
          <c:idx val="6"/>
          <c:order val="1"/>
          <c:tx>
            <c:strRef>
              <c:f>Contributions!$A$4</c:f>
              <c:strCache>
                <c:ptCount val="1"/>
                <c:pt idx="0">
                  <c:v>Group 1</c:v>
                </c:pt>
              </c:strCache>
            </c:strRef>
          </c:tx>
          <c:spPr>
            <a:solidFill>
              <a:srgbClr val="003899"/>
            </a:solidFill>
            <a:ln w="25400">
              <a:noFill/>
            </a:ln>
            <a:effectLst/>
          </c:spPr>
          <c:invertIfNegative val="0"/>
          <c:cat>
            <c:strRef>
              <c:f>Contributions!$B$1:$C$1</c:f>
              <c:strCache>
                <c:ptCount val="2"/>
                <c:pt idx="0">
                  <c:v>2023Q3</c:v>
                </c:pt>
                <c:pt idx="1">
                  <c:v>2023Q4</c:v>
                </c:pt>
              </c:strCache>
            </c:strRef>
          </c:cat>
          <c:val>
            <c:numRef>
              <c:f>Contributions!$B$4:$C$4</c:f>
              <c:numCache>
                <c:formatCode>General</c:formatCode>
                <c:ptCount val="2"/>
                <c:pt idx="0">
                  <c:v>0</c:v>
                </c:pt>
                <c:pt idx="1">
                  <c:v>0</c:v>
                </c:pt>
              </c:numCache>
            </c:numRef>
          </c:val>
          <c:extLst>
            <c:ext xmlns:c16="http://schemas.microsoft.com/office/drawing/2014/chart" uri="{C3380CC4-5D6E-409C-BE32-E72D297353CC}">
              <c16:uniqueId val="{00000001-4927-4A1F-B9E5-0C30277E1A29}"/>
            </c:ext>
          </c:extLst>
        </c:ser>
        <c:ser>
          <c:idx val="0"/>
          <c:order val="2"/>
          <c:tx>
            <c:strRef>
              <c:f>Contributions!$A$5</c:f>
              <c:strCache>
                <c:ptCount val="1"/>
                <c:pt idx="0">
                  <c:v>Group 2</c:v>
                </c:pt>
              </c:strCache>
            </c:strRef>
          </c:tx>
          <c:spPr>
            <a:solidFill>
              <a:srgbClr val="FFB400"/>
            </a:solidFill>
            <a:ln>
              <a:noFill/>
            </a:ln>
            <a:effectLst/>
          </c:spPr>
          <c:invertIfNegative val="0"/>
          <c:cat>
            <c:strRef>
              <c:f>Contributions!$B$1:$C$1</c:f>
              <c:strCache>
                <c:ptCount val="2"/>
                <c:pt idx="0">
                  <c:v>2023Q3</c:v>
                </c:pt>
                <c:pt idx="1">
                  <c:v>2023Q4</c:v>
                </c:pt>
              </c:strCache>
            </c:strRef>
          </c:cat>
          <c:val>
            <c:numRef>
              <c:f>Contributions!$B$5:$C$5</c:f>
              <c:numCache>
                <c:formatCode>General</c:formatCode>
                <c:ptCount val="2"/>
                <c:pt idx="0">
                  <c:v>0</c:v>
                </c:pt>
                <c:pt idx="1">
                  <c:v>0</c:v>
                </c:pt>
              </c:numCache>
            </c:numRef>
          </c:val>
          <c:extLst>
            <c:ext xmlns:c16="http://schemas.microsoft.com/office/drawing/2014/chart" uri="{C3380CC4-5D6E-409C-BE32-E72D297353CC}">
              <c16:uniqueId val="{00000002-4927-4A1F-B9E5-0C30277E1A29}"/>
            </c:ext>
          </c:extLst>
        </c:ser>
        <c:ser>
          <c:idx val="1"/>
          <c:order val="3"/>
          <c:tx>
            <c:strRef>
              <c:f>Contributions!$A$6</c:f>
              <c:strCache>
                <c:ptCount val="1"/>
                <c:pt idx="0">
                  <c:v>Group 3</c:v>
                </c:pt>
              </c:strCache>
            </c:strRef>
          </c:tx>
          <c:spPr>
            <a:solidFill>
              <a:srgbClr val="FF4B00"/>
            </a:solidFill>
            <a:ln>
              <a:noFill/>
            </a:ln>
            <a:effectLst/>
          </c:spPr>
          <c:invertIfNegative val="0"/>
          <c:cat>
            <c:strRef>
              <c:f>Contributions!$B$1:$C$1</c:f>
              <c:strCache>
                <c:ptCount val="2"/>
                <c:pt idx="0">
                  <c:v>2023Q3</c:v>
                </c:pt>
                <c:pt idx="1">
                  <c:v>2023Q4</c:v>
                </c:pt>
              </c:strCache>
            </c:strRef>
          </c:cat>
          <c:val>
            <c:numRef>
              <c:f>Contributions!$B$6:$C$6</c:f>
              <c:numCache>
                <c:formatCode>General</c:formatCode>
                <c:ptCount val="2"/>
                <c:pt idx="0">
                  <c:v>0</c:v>
                </c:pt>
                <c:pt idx="1">
                  <c:v>0</c:v>
                </c:pt>
              </c:numCache>
            </c:numRef>
          </c:val>
          <c:extLst>
            <c:ext xmlns:c16="http://schemas.microsoft.com/office/drawing/2014/chart" uri="{C3380CC4-5D6E-409C-BE32-E72D297353CC}">
              <c16:uniqueId val="{00000003-4927-4A1F-B9E5-0C30277E1A29}"/>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Contributions!$A$2</c:f>
              <c:strCache>
                <c:ptCount val="1"/>
                <c:pt idx="0">
                  <c:v>Nowcast</c:v>
                </c:pt>
              </c:strCache>
            </c:strRef>
          </c:tx>
          <c:spPr>
            <a:ln w="28575" cap="rnd">
              <a:noFill/>
              <a:round/>
            </a:ln>
            <a:effectLst/>
          </c:spPr>
          <c:marker>
            <c:symbol val="circle"/>
            <c:size val="8"/>
            <c:spPr>
              <a:solidFill>
                <a:schemeClr val="bg1"/>
              </a:solidFill>
              <a:ln w="19050">
                <a:solidFill>
                  <a:srgbClr val="002060"/>
                </a:solidFill>
              </a:ln>
              <a:effectLst/>
            </c:spPr>
          </c:marker>
          <c:cat>
            <c:strRef>
              <c:f>Contributions!$B$1:$C$1</c:f>
              <c:strCache>
                <c:ptCount val="2"/>
                <c:pt idx="0">
                  <c:v>2023Q3</c:v>
                </c:pt>
                <c:pt idx="1">
                  <c:v>2023Q4</c:v>
                </c:pt>
              </c:strCache>
            </c:strRef>
          </c:cat>
          <c:val>
            <c:numRef>
              <c:f>Contributions!$B$2:$C$2</c:f>
              <c:numCache>
                <c:formatCode>General</c:formatCode>
                <c:ptCount val="2"/>
                <c:pt idx="0">
                  <c:v>0</c:v>
                </c:pt>
                <c:pt idx="1">
                  <c:v>0</c:v>
                </c:pt>
              </c:numCache>
            </c:numRef>
          </c:val>
          <c:smooth val="0"/>
          <c:extLst>
            <c:ext xmlns:c16="http://schemas.microsoft.com/office/drawing/2014/chart" uri="{C3380CC4-5D6E-409C-BE32-E72D297353CC}">
              <c16:uniqueId val="{00000005-4927-4A1F-B9E5-0C30277E1A29}"/>
            </c:ext>
          </c:extLst>
        </c:ser>
        <c:dLbls>
          <c:showLegendKey val="0"/>
          <c:showVal val="0"/>
          <c:showCatName val="0"/>
          <c:showSerName val="0"/>
          <c:showPercent val="0"/>
          <c:showBubbleSize val="0"/>
        </c:dLbls>
        <c:marker val="1"/>
        <c:smooth val="0"/>
        <c:axId val="217536000"/>
        <c:axId val="209877184"/>
      </c:lineChart>
      <c:date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Offset val="100"/>
        <c:baseTimeUnit val="days"/>
      </c:date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9.8712249642291569E-2"/>
          <c:y val="3.5277777777777776E-2"/>
          <c:w val="0.85173856992738051"/>
          <c:h val="0.17363765432098768"/>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8279050582501148"/>
          <c:y val="0.12833395061728395"/>
          <c:w val="0.49115111111111109"/>
          <c:h val="0.79168765432098764"/>
        </c:manualLayout>
      </c:layout>
      <c:barChart>
        <c:barDir val="bar"/>
        <c:grouping val="clustered"/>
        <c:varyColors val="0"/>
        <c:ser>
          <c:idx val="0"/>
          <c:order val="0"/>
          <c:tx>
            <c:strRef>
              <c:f>Contributions!$G$9</c:f>
              <c:strCache>
                <c:ptCount val="1"/>
              </c:strCache>
            </c:strRef>
          </c:tx>
          <c:spPr>
            <a:solidFill>
              <a:srgbClr val="003299"/>
            </a:solidFill>
            <a:ln>
              <a:noFill/>
            </a:ln>
            <a:effectLst/>
          </c:spPr>
          <c:invertIfNegative val="0"/>
          <c:cat>
            <c:strRef>
              <c:f>Contributions!$D$10:$D$22</c:f>
              <c:strCache>
                <c:ptCount val="13"/>
                <c:pt idx="0">
                  <c:v>Full name 2</c:v>
                </c:pt>
                <c:pt idx="1">
                  <c:v>Full name 3</c:v>
                </c:pt>
                <c:pt idx="2">
                  <c:v>Full name 4</c:v>
                </c:pt>
                <c:pt idx="3">
                  <c:v>Full name 5</c:v>
                </c:pt>
                <c:pt idx="4">
                  <c:v>Full name 6</c:v>
                </c:pt>
                <c:pt idx="5">
                  <c:v>Full name 7</c:v>
                </c:pt>
                <c:pt idx="6">
                  <c:v>Full name 8</c:v>
                </c:pt>
                <c:pt idx="7">
                  <c:v>Full name 9</c:v>
                </c:pt>
                <c:pt idx="8">
                  <c:v>Full name 10</c:v>
                </c:pt>
                <c:pt idx="9">
                  <c:v>Full name 11</c:v>
                </c:pt>
                <c:pt idx="10">
                  <c:v>Full name 12</c:v>
                </c:pt>
                <c:pt idx="11">
                  <c:v>Full name target</c:v>
                </c:pt>
                <c:pt idx="12">
                  <c:v>Full name 4</c:v>
                </c:pt>
              </c:strCache>
            </c:strRef>
          </c:cat>
          <c:val>
            <c:numRef>
              <c:f>Contributions!$G$10:$G$22</c:f>
              <c:numCache>
                <c:formatCode>General</c:formatCode>
                <c:ptCount val="13"/>
                <c:pt idx="7">
                  <c:v>0</c:v>
                </c:pt>
                <c:pt idx="8">
                  <c:v>0</c:v>
                </c:pt>
                <c:pt idx="9">
                  <c:v>0</c:v>
                </c:pt>
                <c:pt idx="10">
                  <c:v>0</c:v>
                </c:pt>
                <c:pt idx="11">
                  <c:v>0</c:v>
                </c:pt>
              </c:numCache>
            </c:numRef>
          </c:val>
          <c:extLst>
            <c:ext xmlns:c16="http://schemas.microsoft.com/office/drawing/2014/chart" uri="{C3380CC4-5D6E-409C-BE32-E72D297353CC}">
              <c16:uniqueId val="{00000000-DB87-411A-83B0-A7DA9F2A5573}"/>
            </c:ext>
          </c:extLst>
        </c:ser>
        <c:ser>
          <c:idx val="1"/>
          <c:order val="1"/>
          <c:tx>
            <c:strRef>
              <c:f>Contributions!$H$9</c:f>
              <c:strCache>
                <c:ptCount val="1"/>
                <c:pt idx="0">
                  <c:v>0</c:v>
                </c:pt>
              </c:strCache>
            </c:strRef>
          </c:tx>
          <c:spPr>
            <a:solidFill>
              <a:srgbClr val="FFB400"/>
            </a:solidFill>
            <a:ln>
              <a:noFill/>
            </a:ln>
            <a:effectLst/>
            <a:extLst>
              <a:ext uri="{91240B29-F687-4F45-9708-019B960494DF}">
                <a14:hiddenLine xmlns:a14="http://schemas.microsoft.com/office/drawing/2010/main">
                  <a:noFill/>
                </a14:hiddenLine>
              </a:ext>
            </a:extLst>
          </c:spPr>
          <c:invertIfNegative val="0"/>
          <c:cat>
            <c:strRef>
              <c:f>Contributions!$D$10:$D$22</c:f>
              <c:strCache>
                <c:ptCount val="13"/>
                <c:pt idx="0">
                  <c:v>Full name 2</c:v>
                </c:pt>
                <c:pt idx="1">
                  <c:v>Full name 3</c:v>
                </c:pt>
                <c:pt idx="2">
                  <c:v>Full name 4</c:v>
                </c:pt>
                <c:pt idx="3">
                  <c:v>Full name 5</c:v>
                </c:pt>
                <c:pt idx="4">
                  <c:v>Full name 6</c:v>
                </c:pt>
                <c:pt idx="5">
                  <c:v>Full name 7</c:v>
                </c:pt>
                <c:pt idx="6">
                  <c:v>Full name 8</c:v>
                </c:pt>
                <c:pt idx="7">
                  <c:v>Full name 9</c:v>
                </c:pt>
                <c:pt idx="8">
                  <c:v>Full name 10</c:v>
                </c:pt>
                <c:pt idx="9">
                  <c:v>Full name 11</c:v>
                </c:pt>
                <c:pt idx="10">
                  <c:v>Full name 12</c:v>
                </c:pt>
                <c:pt idx="11">
                  <c:v>Full name target</c:v>
                </c:pt>
                <c:pt idx="12">
                  <c:v>Full name 4</c:v>
                </c:pt>
              </c:strCache>
            </c:strRef>
          </c:cat>
          <c:val>
            <c:numRef>
              <c:f>Contributions!$H$10:$H$22</c:f>
              <c:numCache>
                <c:formatCode>General</c:formatCode>
                <c:ptCount val="13"/>
                <c:pt idx="0">
                  <c:v>0</c:v>
                </c:pt>
                <c:pt idx="1">
                  <c:v>0</c:v>
                </c:pt>
                <c:pt idx="2">
                  <c:v>0</c:v>
                </c:pt>
                <c:pt idx="12">
                  <c:v>11.741769456232131</c:v>
                </c:pt>
              </c:numCache>
            </c:numRef>
          </c:val>
          <c:extLst>
            <c:ext xmlns:c16="http://schemas.microsoft.com/office/drawing/2014/chart" uri="{C3380CC4-5D6E-409C-BE32-E72D297353CC}">
              <c16:uniqueId val="{00000001-DB87-411A-83B0-A7DA9F2A5573}"/>
            </c:ext>
          </c:extLst>
        </c:ser>
        <c:ser>
          <c:idx val="2"/>
          <c:order val="2"/>
          <c:tx>
            <c:strRef>
              <c:f>Contributions!$I$9</c:f>
              <c:strCache>
                <c:ptCount val="1"/>
              </c:strCache>
            </c:strRef>
          </c:tx>
          <c:spPr>
            <a:solidFill>
              <a:srgbClr val="FF4B00"/>
            </a:solidFill>
            <a:ln>
              <a:noFill/>
            </a:ln>
            <a:effectLst/>
            <a:extLst>
              <a:ext uri="{91240B29-F687-4F45-9708-019B960494DF}">
                <a14:hiddenLine xmlns:a14="http://schemas.microsoft.com/office/drawing/2010/main">
                  <a:noFill/>
                </a14:hiddenLine>
              </a:ext>
            </a:extLst>
          </c:spPr>
          <c:invertIfNegative val="0"/>
          <c:cat>
            <c:strRef>
              <c:f>Contributions!$D$10:$D$22</c:f>
              <c:strCache>
                <c:ptCount val="13"/>
                <c:pt idx="0">
                  <c:v>Full name 2</c:v>
                </c:pt>
                <c:pt idx="1">
                  <c:v>Full name 3</c:v>
                </c:pt>
                <c:pt idx="2">
                  <c:v>Full name 4</c:v>
                </c:pt>
                <c:pt idx="3">
                  <c:v>Full name 5</c:v>
                </c:pt>
                <c:pt idx="4">
                  <c:v>Full name 6</c:v>
                </c:pt>
                <c:pt idx="5">
                  <c:v>Full name 7</c:v>
                </c:pt>
                <c:pt idx="6">
                  <c:v>Full name 8</c:v>
                </c:pt>
                <c:pt idx="7">
                  <c:v>Full name 9</c:v>
                </c:pt>
                <c:pt idx="8">
                  <c:v>Full name 10</c:v>
                </c:pt>
                <c:pt idx="9">
                  <c:v>Full name 11</c:v>
                </c:pt>
                <c:pt idx="10">
                  <c:v>Full name 12</c:v>
                </c:pt>
                <c:pt idx="11">
                  <c:v>Full name target</c:v>
                </c:pt>
                <c:pt idx="12">
                  <c:v>Full name 4</c:v>
                </c:pt>
              </c:strCache>
            </c:strRef>
          </c:cat>
          <c:val>
            <c:numRef>
              <c:f>Contributions!$I$10:$I$22</c:f>
              <c:numCache>
                <c:formatCode>General</c:formatCode>
                <c:ptCount val="13"/>
                <c:pt idx="3">
                  <c:v>0</c:v>
                </c:pt>
                <c:pt idx="4">
                  <c:v>0</c:v>
                </c:pt>
                <c:pt idx="5">
                  <c:v>0</c:v>
                </c:pt>
                <c:pt idx="6">
                  <c:v>0</c:v>
                </c:pt>
              </c:numCache>
            </c:numRef>
          </c:val>
          <c:extLst>
            <c:ext xmlns:c16="http://schemas.microsoft.com/office/drawing/2014/chart" uri="{C3380CC4-5D6E-409C-BE32-E72D297353CC}">
              <c16:uniqueId val="{00000002-DB87-411A-83B0-A7DA9F2A5573}"/>
            </c:ext>
          </c:extLst>
        </c:ser>
        <c:dLbls>
          <c:showLegendKey val="0"/>
          <c:showVal val="0"/>
          <c:showCatName val="0"/>
          <c:showSerName val="0"/>
          <c:showPercent val="0"/>
          <c:showBubbleSize val="0"/>
        </c:dLbls>
        <c:gapWidth val="9"/>
        <c:overlap val="100"/>
        <c:axId val="2088376527"/>
        <c:axId val="2088374863"/>
      </c:barChart>
      <c:catAx>
        <c:axId val="2088376527"/>
        <c:scaling>
          <c:orientation val="minMax"/>
        </c:scaling>
        <c:delete val="0"/>
        <c:axPos val="l"/>
        <c:numFmt formatCode="General" sourceLinked="1"/>
        <c:majorTickMark val="none"/>
        <c:minorTickMark val="none"/>
        <c:tickLblPos val="low"/>
        <c:spPr>
          <a:noFill/>
          <a:ln w="6350" cap="flat" cmpd="sng" algn="ctr">
            <a:solidFill>
              <a:srgbClr val="D9D9D9"/>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088374863"/>
        <c:crosses val="autoZero"/>
        <c:auto val="1"/>
        <c:lblAlgn val="ctr"/>
        <c:lblOffset val="100"/>
        <c:noMultiLvlLbl val="0"/>
      </c:catAx>
      <c:valAx>
        <c:axId val="2088374863"/>
        <c:scaling>
          <c:orientation val="minMax"/>
        </c:scaling>
        <c:delete val="0"/>
        <c:axPos val="b"/>
        <c:majorGridlines>
          <c:spPr>
            <a:ln w="3810" cap="flat" cmpd="sng" algn="ctr">
              <a:solidFill>
                <a:srgbClr val="D9D9D9"/>
              </a:solidFill>
              <a:prstDash val="solid"/>
              <a:round/>
              <a:headEnd type="none" w="med" len="med"/>
              <a:tailEnd type="none" w="med" len="med"/>
            </a:ln>
            <a:effectLst/>
          </c:spPr>
        </c:majorGridlines>
        <c:numFmt formatCode="#,##0.00" sourceLinked="0"/>
        <c:majorTickMark val="none"/>
        <c:minorTickMark val="none"/>
        <c:tickLblPos val="low"/>
        <c:spPr>
          <a:noFill/>
          <a:ln w="6350" cap="flat" cmpd="sng" algn="ctr">
            <a:solidFill>
              <a:srgbClr val="D9D9D9"/>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088376527"/>
        <c:crosses val="autoZero"/>
        <c:crossBetween val="between"/>
        <c:majorUnit val="0.1"/>
      </c:valAx>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535353"/>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141279753823875"/>
          <c:y val="0.29915330150759234"/>
          <c:w val="0.6607820180451407"/>
          <c:h val="0.61074294045185462"/>
        </c:manualLayout>
      </c:layout>
      <c:barChart>
        <c:barDir val="col"/>
        <c:grouping val="stacked"/>
        <c:varyColors val="0"/>
        <c:ser>
          <c:idx val="6"/>
          <c:order val="0"/>
          <c:tx>
            <c:strRef>
              <c:f>Contributions!$J$78</c:f>
              <c:strCache>
                <c:ptCount val="1"/>
                <c:pt idx="0">
                  <c:v>Group 1</c:v>
                </c:pt>
              </c:strCache>
            </c:strRef>
          </c:tx>
          <c:spPr>
            <a:solidFill>
              <a:srgbClr val="003899"/>
            </a:solidFill>
            <a:ln w="25400">
              <a:noFill/>
            </a:ln>
            <a:effectLst/>
          </c:spPr>
          <c:invertIfNegative val="0"/>
          <c:cat>
            <c:numRef>
              <c:f>Contributions!$G$79:$G$80</c:f>
              <c:numCache>
                <c:formatCode>d\-mmm\-yy</c:formatCode>
                <c:ptCount val="2"/>
                <c:pt idx="0">
                  <c:v>45546</c:v>
                </c:pt>
                <c:pt idx="1">
                  <c:v>45547</c:v>
                </c:pt>
              </c:numCache>
            </c:numRef>
          </c:cat>
          <c:val>
            <c:numRef>
              <c:f>Contributions!$J$79:$J$80</c:f>
              <c:numCache>
                <c:formatCode>0.00</c:formatCode>
                <c:ptCount val="2"/>
                <c:pt idx="1">
                  <c:v>-0.18783712483857981</c:v>
                </c:pt>
              </c:numCache>
            </c:numRef>
          </c:val>
          <c:extLst>
            <c:ext xmlns:c16="http://schemas.microsoft.com/office/drawing/2014/chart" uri="{C3380CC4-5D6E-409C-BE32-E72D297353CC}">
              <c16:uniqueId val="{00000000-85D3-4149-B1A3-930F671A485A}"/>
            </c:ext>
          </c:extLst>
        </c:ser>
        <c:ser>
          <c:idx val="0"/>
          <c:order val="1"/>
          <c:tx>
            <c:strRef>
              <c:f>Contributions!$K$78</c:f>
              <c:strCache>
                <c:ptCount val="1"/>
                <c:pt idx="0">
                  <c:v>Group 2</c:v>
                </c:pt>
              </c:strCache>
            </c:strRef>
          </c:tx>
          <c:spPr>
            <a:solidFill>
              <a:srgbClr val="FFB400"/>
            </a:solidFill>
            <a:ln>
              <a:noFill/>
            </a:ln>
            <a:effectLst/>
          </c:spPr>
          <c:invertIfNegative val="0"/>
          <c:cat>
            <c:numRef>
              <c:f>Contributions!$G$79:$G$80</c:f>
              <c:numCache>
                <c:formatCode>d\-mmm\-yy</c:formatCode>
                <c:ptCount val="2"/>
                <c:pt idx="0">
                  <c:v>45546</c:v>
                </c:pt>
                <c:pt idx="1">
                  <c:v>45547</c:v>
                </c:pt>
              </c:numCache>
            </c:numRef>
          </c:cat>
          <c:val>
            <c:numRef>
              <c:f>Contributions!$K$79:$K$80</c:f>
              <c:numCache>
                <c:formatCode>0.00</c:formatCode>
                <c:ptCount val="2"/>
                <c:pt idx="1">
                  <c:v>-3.3882510160861599E-2</c:v>
                </c:pt>
              </c:numCache>
            </c:numRef>
          </c:val>
          <c:extLst>
            <c:ext xmlns:c16="http://schemas.microsoft.com/office/drawing/2014/chart" uri="{C3380CC4-5D6E-409C-BE32-E72D297353CC}">
              <c16:uniqueId val="{00000001-85D3-4149-B1A3-930F671A485A}"/>
            </c:ext>
          </c:extLst>
        </c:ser>
        <c:ser>
          <c:idx val="1"/>
          <c:order val="2"/>
          <c:tx>
            <c:strRef>
              <c:f>Contributions!$L$78</c:f>
              <c:strCache>
                <c:ptCount val="1"/>
                <c:pt idx="0">
                  <c:v>Group 3</c:v>
                </c:pt>
              </c:strCache>
            </c:strRef>
          </c:tx>
          <c:spPr>
            <a:solidFill>
              <a:srgbClr val="FF4B00"/>
            </a:solidFill>
            <a:ln>
              <a:noFill/>
            </a:ln>
            <a:effectLst/>
          </c:spPr>
          <c:invertIfNegative val="0"/>
          <c:cat>
            <c:numRef>
              <c:f>Contributions!$G$79:$G$80</c:f>
              <c:numCache>
                <c:formatCode>d\-mmm\-yy</c:formatCode>
                <c:ptCount val="2"/>
                <c:pt idx="0">
                  <c:v>45546</c:v>
                </c:pt>
                <c:pt idx="1">
                  <c:v>45547</c:v>
                </c:pt>
              </c:numCache>
            </c:numRef>
          </c:cat>
          <c:val>
            <c:numRef>
              <c:f>Contributions!$L$79:$L$80</c:f>
              <c:numCache>
                <c:formatCode>0.00</c:formatCode>
                <c:ptCount val="2"/>
                <c:pt idx="1">
                  <c:v>-5.8916918082321544E-2</c:v>
                </c:pt>
              </c:numCache>
            </c:numRef>
          </c:val>
          <c:extLst>
            <c:ext xmlns:c16="http://schemas.microsoft.com/office/drawing/2014/chart" uri="{C3380CC4-5D6E-409C-BE32-E72D297353CC}">
              <c16:uniqueId val="{00000002-85D3-4149-B1A3-930F671A485A}"/>
            </c:ext>
          </c:extLst>
        </c:ser>
        <c:ser>
          <c:idx val="5"/>
          <c:order val="3"/>
          <c:tx>
            <c:strRef>
              <c:f>Contributions!$M$78</c:f>
              <c:strCache>
                <c:ptCount val="1"/>
                <c:pt idx="0">
                  <c:v>Revisions (data and model)</c:v>
                </c:pt>
              </c:strCache>
            </c:strRef>
          </c:tx>
          <c:spPr>
            <a:solidFill>
              <a:srgbClr val="D9D9D9"/>
            </a:solidFill>
            <a:ln w="25400">
              <a:noFill/>
            </a:ln>
            <a:effectLst/>
          </c:spPr>
          <c:invertIfNegative val="0"/>
          <c:cat>
            <c:numRef>
              <c:f>Contributions!$G$79:$G$80</c:f>
              <c:numCache>
                <c:formatCode>d\-mmm\-yy</c:formatCode>
                <c:ptCount val="2"/>
                <c:pt idx="0">
                  <c:v>45546</c:v>
                </c:pt>
                <c:pt idx="1">
                  <c:v>45547</c:v>
                </c:pt>
              </c:numCache>
            </c:numRef>
          </c:cat>
          <c:val>
            <c:numRef>
              <c:f>Contributions!$M$79:$M$80</c:f>
              <c:numCache>
                <c:formatCode>0.00</c:formatCode>
                <c:ptCount val="2"/>
                <c:pt idx="1">
                  <c:v>1.1096862520975859E-2</c:v>
                </c:pt>
              </c:numCache>
            </c:numRef>
          </c:val>
          <c:extLst>
            <c:ext xmlns:c16="http://schemas.microsoft.com/office/drawing/2014/chart" uri="{C3380CC4-5D6E-409C-BE32-E72D297353CC}">
              <c16:uniqueId val="{00000005-85D3-4149-B1A3-930F671A485A}"/>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Contributions!$H$78</c:f>
              <c:strCache>
                <c:ptCount val="1"/>
                <c:pt idx="0">
                  <c:v>DFM (2023Q4)</c:v>
                </c:pt>
              </c:strCache>
            </c:strRef>
          </c:tx>
          <c:spPr>
            <a:ln w="28575" cap="rnd">
              <a:noFill/>
              <a:round/>
            </a:ln>
            <a:effectLst/>
          </c:spPr>
          <c:marker>
            <c:symbol val="circle"/>
            <c:size val="8"/>
            <c:spPr>
              <a:solidFill>
                <a:schemeClr val="bg1"/>
              </a:solidFill>
              <a:ln w="19050">
                <a:solidFill>
                  <a:srgbClr val="002060"/>
                </a:solidFill>
              </a:ln>
              <a:effectLst/>
            </c:spPr>
          </c:marker>
          <c:cat>
            <c:numRef>
              <c:f>Contributions!$G$79:$G$80</c:f>
              <c:numCache>
                <c:formatCode>d\-mmm\-yy</c:formatCode>
                <c:ptCount val="2"/>
                <c:pt idx="0">
                  <c:v>45546</c:v>
                </c:pt>
                <c:pt idx="1">
                  <c:v>45547</c:v>
                </c:pt>
              </c:numCache>
            </c:numRef>
          </c:cat>
          <c:val>
            <c:numRef>
              <c:f>Contributions!$H$79:$H$80</c:f>
              <c:numCache>
                <c:formatCode>0.000</c:formatCode>
                <c:ptCount val="2"/>
                <c:pt idx="0">
                  <c:v>0.82494411288715996</c:v>
                </c:pt>
                <c:pt idx="1">
                  <c:v>0.55540442232637477</c:v>
                </c:pt>
              </c:numCache>
            </c:numRef>
          </c:val>
          <c:smooth val="0"/>
          <c:extLst>
            <c:ext xmlns:c16="http://schemas.microsoft.com/office/drawing/2014/chart" uri="{C3380CC4-5D6E-409C-BE32-E72D297353CC}">
              <c16:uniqueId val="{00000007-85D3-4149-B1A3-930F671A485A}"/>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max val="1.4"/>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0.17657829003258652"/>
          <c:y val="0"/>
          <c:w val="0.61783694632743613"/>
          <c:h val="0.26244857632650426"/>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5789506172839505"/>
          <c:w val="0.87447694444444446"/>
          <c:h val="0.6755475308641975"/>
        </c:manualLayout>
      </c:layout>
      <c:barChart>
        <c:barDir val="col"/>
        <c:grouping val="stacked"/>
        <c:varyColors val="0"/>
        <c:ser>
          <c:idx val="6"/>
          <c:order val="0"/>
          <c:tx>
            <c:strRef>
              <c:f>'2023Q3'!$L$1</c:f>
              <c:strCache>
                <c:ptCount val="1"/>
                <c:pt idx="0">
                  <c:v>Group 1</c:v>
                </c:pt>
              </c:strCache>
            </c:strRef>
          </c:tx>
          <c:spPr>
            <a:solidFill>
              <a:srgbClr val="003899"/>
            </a:solidFill>
            <a:ln w="25400">
              <a:noFill/>
            </a:ln>
            <a:effectLst/>
          </c:spPr>
          <c:invertIfNegative val="0"/>
          <c:cat>
            <c:numRef>
              <c:f>'2023Q3'!$A$2:$A$3</c:f>
              <c:numCache>
                <c:formatCode>d\-mmm\-yy</c:formatCode>
                <c:ptCount val="2"/>
                <c:pt idx="0">
                  <c:v>45546</c:v>
                </c:pt>
                <c:pt idx="1">
                  <c:v>45547</c:v>
                </c:pt>
              </c:numCache>
            </c:numRef>
          </c:cat>
          <c:val>
            <c:numRef>
              <c:f>'2023Q3'!$L$2:$L$3</c:f>
              <c:numCache>
                <c:formatCode>General</c:formatCode>
                <c:ptCount val="2"/>
                <c:pt idx="1">
                  <c:v>-1.6195448730534318E-2</c:v>
                </c:pt>
              </c:numCache>
            </c:numRef>
          </c:val>
          <c:extLst>
            <c:ext xmlns:c16="http://schemas.microsoft.com/office/drawing/2014/chart" uri="{C3380CC4-5D6E-409C-BE32-E72D297353CC}">
              <c16:uniqueId val="{00000000-A258-4BE4-B212-DF6709EC73AA}"/>
            </c:ext>
          </c:extLst>
        </c:ser>
        <c:ser>
          <c:idx val="0"/>
          <c:order val="1"/>
          <c:tx>
            <c:strRef>
              <c:f>'2023Q3'!$M$1</c:f>
              <c:strCache>
                <c:ptCount val="1"/>
                <c:pt idx="0">
                  <c:v>Group 2</c:v>
                </c:pt>
              </c:strCache>
            </c:strRef>
          </c:tx>
          <c:spPr>
            <a:solidFill>
              <a:srgbClr val="FFB400"/>
            </a:solidFill>
            <a:ln>
              <a:noFill/>
            </a:ln>
            <a:effectLst/>
          </c:spPr>
          <c:invertIfNegative val="0"/>
          <c:cat>
            <c:numRef>
              <c:f>'2023Q3'!$A$2:$A$3</c:f>
              <c:numCache>
                <c:formatCode>d\-mmm\-yy</c:formatCode>
                <c:ptCount val="2"/>
                <c:pt idx="0">
                  <c:v>45546</c:v>
                </c:pt>
                <c:pt idx="1">
                  <c:v>45547</c:v>
                </c:pt>
              </c:numCache>
            </c:numRef>
          </c:cat>
          <c:val>
            <c:numRef>
              <c:f>'2023Q3'!$M$2:$M$3</c:f>
              <c:numCache>
                <c:formatCode>General</c:formatCode>
                <c:ptCount val="2"/>
                <c:pt idx="1">
                  <c:v>1.8643842412953936E-2</c:v>
                </c:pt>
              </c:numCache>
            </c:numRef>
          </c:val>
          <c:extLst>
            <c:ext xmlns:c16="http://schemas.microsoft.com/office/drawing/2014/chart" uri="{C3380CC4-5D6E-409C-BE32-E72D297353CC}">
              <c16:uniqueId val="{00000001-A258-4BE4-B212-DF6709EC73AA}"/>
            </c:ext>
          </c:extLst>
        </c:ser>
        <c:ser>
          <c:idx val="1"/>
          <c:order val="2"/>
          <c:tx>
            <c:strRef>
              <c:f>'2023Q3'!$N$1</c:f>
              <c:strCache>
                <c:ptCount val="1"/>
                <c:pt idx="0">
                  <c:v>Group 3</c:v>
                </c:pt>
              </c:strCache>
            </c:strRef>
          </c:tx>
          <c:spPr>
            <a:solidFill>
              <a:srgbClr val="FF4B00"/>
            </a:solidFill>
            <a:ln>
              <a:noFill/>
            </a:ln>
            <a:effectLst/>
          </c:spPr>
          <c:invertIfNegative val="0"/>
          <c:cat>
            <c:numRef>
              <c:f>'2023Q3'!$A$2:$A$3</c:f>
              <c:numCache>
                <c:formatCode>d\-mmm\-yy</c:formatCode>
                <c:ptCount val="2"/>
                <c:pt idx="0">
                  <c:v>45546</c:v>
                </c:pt>
                <c:pt idx="1">
                  <c:v>45547</c:v>
                </c:pt>
              </c:numCache>
            </c:numRef>
          </c:cat>
          <c:val>
            <c:numRef>
              <c:f>'2023Q3'!$N$2:$N$3</c:f>
              <c:numCache>
                <c:formatCode>General</c:formatCode>
                <c:ptCount val="2"/>
                <c:pt idx="1">
                  <c:v>-8.5966056060282348E-2</c:v>
                </c:pt>
              </c:numCache>
            </c:numRef>
          </c:val>
          <c:extLst>
            <c:ext xmlns:c16="http://schemas.microsoft.com/office/drawing/2014/chart" uri="{C3380CC4-5D6E-409C-BE32-E72D297353CC}">
              <c16:uniqueId val="{00000002-A258-4BE4-B212-DF6709EC73AA}"/>
            </c:ext>
          </c:extLst>
        </c:ser>
        <c:ser>
          <c:idx val="2"/>
          <c:order val="3"/>
          <c:tx>
            <c:strRef>
              <c:f>'2023Q3'!$O$1</c:f>
              <c:strCache>
                <c:ptCount val="1"/>
                <c:pt idx="0">
                  <c:v>Revisions (data and model)</c:v>
                </c:pt>
              </c:strCache>
            </c:strRef>
          </c:tx>
          <c:spPr>
            <a:solidFill>
              <a:srgbClr val="65B800"/>
            </a:solidFill>
            <a:ln>
              <a:noFill/>
            </a:ln>
            <a:effectLst/>
          </c:spPr>
          <c:invertIfNegative val="0"/>
          <c:cat>
            <c:numRef>
              <c:f>'2023Q3'!$A$2:$A$3</c:f>
              <c:numCache>
                <c:formatCode>d\-mmm\-yy</c:formatCode>
                <c:ptCount val="2"/>
                <c:pt idx="0">
                  <c:v>45546</c:v>
                </c:pt>
                <c:pt idx="1">
                  <c:v>45547</c:v>
                </c:pt>
              </c:numCache>
            </c:numRef>
          </c:cat>
          <c:val>
            <c:numRef>
              <c:f>'2023Q3'!$O$2:$O$3</c:f>
              <c:numCache>
                <c:formatCode>General</c:formatCode>
                <c:ptCount val="2"/>
                <c:pt idx="1">
                  <c:v>6.5599446049549037E-3</c:v>
                </c:pt>
              </c:numCache>
            </c:numRef>
          </c:val>
          <c:extLst>
            <c:ext xmlns:c16="http://schemas.microsoft.com/office/drawing/2014/chart" uri="{C3380CC4-5D6E-409C-BE32-E72D297353CC}">
              <c16:uniqueId val="{00000003-A258-4BE4-B212-DF6709EC73AA}"/>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'2023Q3'!$B$1</c:f>
              <c:strCache>
                <c:ptCount val="1"/>
                <c:pt idx="0">
                  <c:v>Current nowcast</c:v>
                </c:pt>
              </c:strCache>
            </c:strRef>
          </c:tx>
          <c:spPr>
            <a:ln w="28575" cap="rnd">
              <a:noFill/>
              <a:round/>
            </a:ln>
            <a:effectLst/>
          </c:spPr>
          <c:marker>
            <c:symbol val="circle"/>
            <c:size val="8"/>
            <c:spPr>
              <a:solidFill>
                <a:schemeClr val="bg1"/>
              </a:solidFill>
              <a:ln w="19050">
                <a:solidFill>
                  <a:srgbClr val="002060"/>
                </a:solidFill>
              </a:ln>
              <a:effectLst/>
            </c:spPr>
          </c:marker>
          <c:cat>
            <c:numRef>
              <c:f>'2023Q3'!$A$2:$A$3</c:f>
              <c:numCache>
                <c:formatCode>d\-mmm\-yy</c:formatCode>
                <c:ptCount val="2"/>
                <c:pt idx="0">
                  <c:v>45546</c:v>
                </c:pt>
                <c:pt idx="1">
                  <c:v>45547</c:v>
                </c:pt>
              </c:numCache>
            </c:numRef>
          </c:cat>
          <c:val>
            <c:numRef>
              <c:f>'2023Q3'!$B$2:$B$3</c:f>
              <c:numCache>
                <c:formatCode>General</c:formatCode>
                <c:ptCount val="2"/>
                <c:pt idx="0">
                  <c:v>0.80642123224726514</c:v>
                </c:pt>
                <c:pt idx="1">
                  <c:v>0.72946351447434843</c:v>
                </c:pt>
              </c:numCache>
            </c:numRef>
          </c:val>
          <c:smooth val="0"/>
          <c:extLst>
            <c:ext xmlns:c16="http://schemas.microsoft.com/office/drawing/2014/chart" uri="{C3380CC4-5D6E-409C-BE32-E72D297353CC}">
              <c16:uniqueId val="{00000008-A258-4BE4-B212-DF6709EC73AA}"/>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8.8128888888888895E-2"/>
          <c:y val="0"/>
          <c:w val="0.87902000000000002"/>
          <c:h val="0.2243966049382716"/>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1635272710185574"/>
          <c:w val="0.87447694444444446"/>
          <c:h val="0.71376359662128108"/>
        </c:manualLayout>
      </c:layout>
      <c:barChart>
        <c:barDir val="col"/>
        <c:grouping val="stacked"/>
        <c:varyColors val="0"/>
        <c:ser>
          <c:idx val="6"/>
          <c:order val="0"/>
          <c:tx>
            <c:strRef>
              <c:f>'2023Q4'!$L$1</c:f>
              <c:strCache>
                <c:ptCount val="1"/>
                <c:pt idx="0">
                  <c:v>Group 1</c:v>
                </c:pt>
              </c:strCache>
            </c:strRef>
          </c:tx>
          <c:spPr>
            <a:solidFill>
              <a:srgbClr val="003899"/>
            </a:solidFill>
            <a:ln w="25400">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pt idx="10">
                  <c:v>45980</c:v>
                </c:pt>
              </c:numCache>
            </c:numRef>
          </c:cat>
          <c:val>
            <c:numRef>
              <c:extLst>
                <c:ext xmlns:c15="http://schemas.microsoft.com/office/drawing/2012/chart" uri="{02D57815-91ED-43cb-92C2-25804820EDAC}">
                  <c15:fullRef>
                    <c15:sqref>'2023Q4'!$L$2:$L$3</c15:sqref>
                  </c15:fullRef>
                </c:ext>
              </c:extLst>
              <c:f>'2023Q4'!$L$2:$L$3</c:f>
              <c:numCache>
                <c:formatCode>General</c:formatCode>
                <c:ptCount val="2"/>
                <c:pt idx="1">
                  <c:v>-0.18783712483857981</c:v>
                </c:pt>
              </c:numCache>
            </c:numRef>
          </c:val>
          <c:extLst>
            <c:ext xmlns:c16="http://schemas.microsoft.com/office/drawing/2014/chart" uri="{C3380CC4-5D6E-409C-BE32-E72D297353CC}">
              <c16:uniqueId val="{00000000-F97E-4F15-A6C8-67A300BDC720}"/>
            </c:ext>
          </c:extLst>
        </c:ser>
        <c:ser>
          <c:idx val="0"/>
          <c:order val="1"/>
          <c:tx>
            <c:strRef>
              <c:f>'2023Q4'!$M$1</c:f>
              <c:strCache>
                <c:ptCount val="1"/>
                <c:pt idx="0">
                  <c:v>Group 2</c:v>
                </c:pt>
              </c:strCache>
            </c:strRef>
          </c:tx>
          <c:spPr>
            <a:solidFill>
              <a:srgbClr val="FFB4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pt idx="10">
                  <c:v>45980</c:v>
                </c:pt>
              </c:numCache>
            </c:numRef>
          </c:cat>
          <c:val>
            <c:numRef>
              <c:extLst>
                <c:ext xmlns:c15="http://schemas.microsoft.com/office/drawing/2012/chart" uri="{02D57815-91ED-43cb-92C2-25804820EDAC}">
                  <c15:fullRef>
                    <c15:sqref>'2023Q4'!$M$2:$M$3</c15:sqref>
                  </c15:fullRef>
                </c:ext>
              </c:extLst>
              <c:f>'2023Q4'!$M$2:$M$3</c:f>
              <c:numCache>
                <c:formatCode>General</c:formatCode>
                <c:ptCount val="2"/>
                <c:pt idx="1">
                  <c:v>-3.3882510160861599E-2</c:v>
                </c:pt>
              </c:numCache>
            </c:numRef>
          </c:val>
          <c:extLst>
            <c:ext xmlns:c16="http://schemas.microsoft.com/office/drawing/2014/chart" uri="{C3380CC4-5D6E-409C-BE32-E72D297353CC}">
              <c16:uniqueId val="{00000001-F97E-4F15-A6C8-67A300BDC720}"/>
            </c:ext>
          </c:extLst>
        </c:ser>
        <c:ser>
          <c:idx val="1"/>
          <c:order val="2"/>
          <c:tx>
            <c:strRef>
              <c:f>'2023Q4'!$N$1</c:f>
              <c:strCache>
                <c:ptCount val="1"/>
                <c:pt idx="0">
                  <c:v>Group 3</c:v>
                </c:pt>
              </c:strCache>
            </c:strRef>
          </c:tx>
          <c:spPr>
            <a:solidFill>
              <a:srgbClr val="FF4B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pt idx="10">
                  <c:v>45980</c:v>
                </c:pt>
              </c:numCache>
            </c:numRef>
          </c:cat>
          <c:val>
            <c:numRef>
              <c:extLst>
                <c:ext xmlns:c15="http://schemas.microsoft.com/office/drawing/2012/chart" uri="{02D57815-91ED-43cb-92C2-25804820EDAC}">
                  <c15:fullRef>
                    <c15:sqref>'2023Q4'!$N$2:$N$3</c15:sqref>
                  </c15:fullRef>
                </c:ext>
              </c:extLst>
              <c:f>'2023Q4'!$N$2:$N$3</c:f>
              <c:numCache>
                <c:formatCode>General</c:formatCode>
                <c:ptCount val="2"/>
                <c:pt idx="1">
                  <c:v>-5.8916918082321544E-2</c:v>
                </c:pt>
              </c:numCache>
            </c:numRef>
          </c:val>
          <c:extLst>
            <c:ext xmlns:c16="http://schemas.microsoft.com/office/drawing/2014/chart" uri="{C3380CC4-5D6E-409C-BE32-E72D297353CC}">
              <c16:uniqueId val="{00000002-F97E-4F15-A6C8-67A300BDC720}"/>
            </c:ext>
          </c:extLst>
        </c:ser>
        <c:ser>
          <c:idx val="2"/>
          <c:order val="3"/>
          <c:tx>
            <c:strRef>
              <c:f>'2023Q4'!$O$1</c:f>
              <c:strCache>
                <c:ptCount val="1"/>
                <c:pt idx="0">
                  <c:v>Revisions (data and model)</c:v>
                </c:pt>
              </c:strCache>
            </c:strRef>
          </c:tx>
          <c:spPr>
            <a:solidFill>
              <a:srgbClr val="65B8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pt idx="10">
                  <c:v>45980</c:v>
                </c:pt>
              </c:numCache>
            </c:numRef>
          </c:cat>
          <c:val>
            <c:numRef>
              <c:extLst>
                <c:ext xmlns:c15="http://schemas.microsoft.com/office/drawing/2012/chart" uri="{02D57815-91ED-43cb-92C2-25804820EDAC}">
                  <c15:fullRef>
                    <c15:sqref>'2023Q4'!$O$2:$O$3</c15:sqref>
                  </c15:fullRef>
                </c:ext>
              </c:extLst>
              <c:f>'2023Q4'!$O$2:$O$3</c:f>
              <c:numCache>
                <c:formatCode>General</c:formatCode>
                <c:ptCount val="2"/>
                <c:pt idx="1">
                  <c:v>1.1096862520975859E-2</c:v>
                </c:pt>
              </c:numCache>
            </c:numRef>
          </c:val>
          <c:extLst>
            <c:ext xmlns:c16="http://schemas.microsoft.com/office/drawing/2014/chart" uri="{C3380CC4-5D6E-409C-BE32-E72D297353CC}">
              <c16:uniqueId val="{00000003-F97E-4F15-A6C8-67A300BDC720}"/>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'2023Q4'!$B$1</c:f>
              <c:strCache>
                <c:ptCount val="1"/>
                <c:pt idx="0">
                  <c:v>Current nowcast</c:v>
                </c:pt>
              </c:strCache>
            </c:strRef>
          </c:tx>
          <c:spPr>
            <a:ln w="28575" cap="rnd">
              <a:noFill/>
              <a:round/>
            </a:ln>
            <a:effectLst/>
          </c:spPr>
          <c:marker>
            <c:symbol val="circle"/>
            <c:size val="8"/>
            <c:spPr>
              <a:solidFill>
                <a:schemeClr val="bg1"/>
              </a:solidFill>
              <a:ln w="19050">
                <a:solidFill>
                  <a:srgbClr val="002060"/>
                </a:solidFill>
              </a:ln>
              <a:effectLst/>
            </c:spPr>
          </c:marker>
          <c:cat>
            <c:numRef>
              <c:extLst>
                <c:ext xmlns:c15="http://schemas.microsoft.com/office/drawing/2012/chart" uri="{02D57815-91ED-43cb-92C2-25804820EDAC}">
                  <c15:fullRef>
                    <c15:sqref>'2023Q4'!$A$2:$A$3</c15:sqref>
                  </c15:fullRef>
                </c:ext>
              </c:extLst>
              <c:f>'2023Q4'!$A$2:$A$3</c:f>
              <c:numCache>
                <c:formatCode>d\-mmm\-yy</c:formatCode>
                <c:ptCount val="2"/>
                <c:pt idx="0">
                  <c:v>45546</c:v>
                </c:pt>
                <c:pt idx="1">
                  <c:v>45547</c:v>
                </c:pt>
              </c:numCache>
            </c:numRef>
          </c:cat>
          <c:val>
            <c:numRef>
              <c:extLst>
                <c:ext xmlns:c15="http://schemas.microsoft.com/office/drawing/2012/chart" uri="{02D57815-91ED-43cb-92C2-25804820EDAC}">
                  <c15:fullRef>
                    <c15:sqref>'2023Q4'!$B$2:$B$3</c15:sqref>
                  </c15:fullRef>
                </c:ext>
              </c:extLst>
              <c:f>'2023Q4'!$B$2:$B$3</c:f>
              <c:numCache>
                <c:formatCode>General</c:formatCode>
                <c:ptCount val="2"/>
                <c:pt idx="0">
                  <c:v>0.82494411288715996</c:v>
                </c:pt>
                <c:pt idx="1">
                  <c:v>0.55540442232637477</c:v>
                </c:pt>
              </c:numCache>
            </c:numRef>
          </c:val>
          <c:smooth val="0"/>
          <c:extLst>
            <c:ext xmlns:c16="http://schemas.microsoft.com/office/drawing/2014/chart" uri="{C3380CC4-5D6E-409C-BE32-E72D297353CC}">
              <c16:uniqueId val="{00000008-F97E-4F15-A6C8-67A300BDC720}"/>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8.8128888888888895E-2"/>
          <c:y val="0"/>
          <c:w val="0.87902000000000002"/>
          <c:h val="0.20225129100050712"/>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14</xdr:col>
      <xdr:colOff>221725</xdr:colOff>
      <xdr:row>3</xdr:row>
      <xdr:rowOff>97490</xdr:rowOff>
    </xdr:from>
    <xdr:to>
      <xdr:col>14</xdr:col>
      <xdr:colOff>3821725</xdr:colOff>
      <xdr:row>17</xdr:row>
      <xdr:rowOff>162490</xdr:rowOff>
    </xdr:to>
    <xdr:graphicFrame macro="">
      <xdr:nvGraphicFramePr>
        <xdr:cNvPr id="6" name="Chart 5">
          <a:extLst>
            <a:ext uri="{FF2B5EF4-FFF2-40B4-BE49-F238E27FC236}">
              <a16:creationId xmlns:a16="http://schemas.microsoft.com/office/drawing/2014/main" id="{109B29C6-EA3A-4F31-AF5A-91B8043BA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95251</xdr:colOff>
      <xdr:row>0</xdr:row>
      <xdr:rowOff>186114</xdr:rowOff>
    </xdr:from>
    <xdr:to>
      <xdr:col>4</xdr:col>
      <xdr:colOff>577995</xdr:colOff>
      <xdr:row>32</xdr:row>
      <xdr:rowOff>172357</xdr:rowOff>
    </xdr:to>
    <xdr:sp macro="" textlink="">
      <xdr:nvSpPr>
        <xdr:cNvPr id="2" name="TextBox 1">
          <a:extLst>
            <a:ext uri="{FF2B5EF4-FFF2-40B4-BE49-F238E27FC236}">
              <a16:creationId xmlns:a16="http://schemas.microsoft.com/office/drawing/2014/main" id="{0A546432-7A31-7802-264B-4BDCBB813C20}"/>
            </a:ext>
          </a:extLst>
        </xdr:cNvPr>
        <xdr:cNvSpPr txBox="1"/>
      </xdr:nvSpPr>
      <xdr:spPr>
        <a:xfrm>
          <a:off x="195037" y="186114"/>
          <a:ext cx="5753244" cy="7243386"/>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1" i="1">
              <a:latin typeface="Arial" panose="020B0604020202020204" pitchFamily="34" charset="0"/>
              <a:cs typeface="Arial" panose="020B0604020202020204" pitchFamily="34" charset="0"/>
            </a:rPr>
            <a:t>BASELINE CHART</a:t>
          </a:r>
        </a:p>
        <a:p>
          <a:pPr>
            <a:lnSpc>
              <a:spcPct val="150000"/>
            </a:lnSpc>
          </a:pPr>
          <a:r>
            <a:rPr lang="en-GB" sz="1100" b="0">
              <a:latin typeface="Arial" panose="020B0604020202020204" pitchFamily="34" charset="0"/>
              <a:cs typeface="Arial" panose="020B0604020202020204" pitchFamily="34" charset="0"/>
            </a:rPr>
            <a:t>1. If needed, adjust dates in</a:t>
          </a:r>
          <a:r>
            <a:rPr lang="en-GB" sz="1100" b="0" baseline="0">
              <a:latin typeface="Arial" panose="020B0604020202020204" pitchFamily="34" charset="0"/>
              <a:cs typeface="Arial" panose="020B0604020202020204" pitchFamily="34" charset="0"/>
            </a:rPr>
            <a:t> </a:t>
          </a:r>
          <a:r>
            <a:rPr lang="en-GB" sz="1100" b="1" baseline="0">
              <a:latin typeface="Arial" panose="020B0604020202020204" pitchFamily="34" charset="0"/>
              <a:cs typeface="Arial" panose="020B0604020202020204" pitchFamily="34" charset="0"/>
            </a:rPr>
            <a:t>cells F9 to F20</a:t>
          </a:r>
        </a:p>
        <a:p>
          <a:pPr lvl="1">
            <a:lnSpc>
              <a:spcPct val="150000"/>
            </a:lnSpc>
          </a:pPr>
          <a:r>
            <a:rPr lang="en-GB" sz="1100" b="0" baseline="0">
              <a:latin typeface="Arial" panose="020B0604020202020204" pitchFamily="34" charset="0"/>
              <a:cs typeface="Arial" panose="020B0604020202020204" pitchFamily="34" charset="0"/>
            </a:rPr>
            <a:t>NB: for simplicity with the Excel charts, the idea is NOT to add a quarter each time, but rather to keep the size of the table by removing the oldest quarter when adding a new one.</a:t>
          </a:r>
        </a:p>
        <a:p>
          <a:pPr lvl="1">
            <a:lnSpc>
              <a:spcPct val="150000"/>
            </a:lnSpc>
          </a:pPr>
          <a:r>
            <a:rPr lang="en-GB" sz="1100" b="0" baseline="0">
              <a:latin typeface="Arial" panose="020B0604020202020204" pitchFamily="34" charset="0"/>
              <a:cs typeface="Arial" panose="020B0604020202020204" pitchFamily="34" charset="0"/>
            </a:rPr>
            <a:t>NB: in </a:t>
          </a:r>
          <a:r>
            <a:rPr lang="en-GB" sz="1100" b="1" baseline="0">
              <a:latin typeface="Arial" panose="020B0604020202020204" pitchFamily="34" charset="0"/>
              <a:cs typeface="Arial" panose="020B0604020202020204" pitchFamily="34" charset="0"/>
            </a:rPr>
            <a:t>column F</a:t>
          </a:r>
          <a:r>
            <a:rPr lang="en-GB" sz="1100" b="0" baseline="0">
              <a:latin typeface="Arial" panose="020B0604020202020204" pitchFamily="34" charset="0"/>
              <a:cs typeface="Arial" panose="020B0604020202020204" pitchFamily="34" charset="0"/>
            </a:rPr>
            <a:t>, the format yyyyQQ is automatically computed. It is required to fetch automatically the nowcasts from the corresponding sheets.</a:t>
          </a:r>
        </a:p>
        <a:p>
          <a:pPr>
            <a:lnSpc>
              <a:spcPct val="150000"/>
            </a:lnSpc>
          </a:pPr>
          <a:r>
            <a:rPr lang="en-GB" sz="1100" b="0">
              <a:latin typeface="Arial" panose="020B0604020202020204" pitchFamily="34" charset="0"/>
              <a:cs typeface="Arial" panose="020B0604020202020204" pitchFamily="34" charset="0"/>
            </a:rPr>
            <a:t>2. If needed, adjust outcome data in </a:t>
          </a:r>
          <a:r>
            <a:rPr lang="en-GB" sz="1100" b="1">
              <a:latin typeface="Arial" panose="020B0604020202020204" pitchFamily="34" charset="0"/>
              <a:cs typeface="Arial" panose="020B0604020202020204" pitchFamily="34" charset="0"/>
            </a:rPr>
            <a:t>cells H9 to H20</a:t>
          </a:r>
        </a:p>
        <a:p>
          <a:pPr>
            <a:lnSpc>
              <a:spcPct val="150000"/>
            </a:lnSpc>
          </a:pPr>
          <a:r>
            <a:rPr lang="en-GB" sz="1100" b="0">
              <a:latin typeface="Arial" panose="020B0604020202020204" pitchFamily="34" charset="0"/>
              <a:cs typeface="Arial" panose="020B0604020202020204" pitchFamily="34" charset="0"/>
            </a:rPr>
            <a:t>3. To get latest nowcast,</a:t>
          </a:r>
          <a:r>
            <a:rPr lang="en-GB" sz="1100" b="0" baseline="0">
              <a:latin typeface="Arial" panose="020B0604020202020204" pitchFamily="34" charset="0"/>
              <a:cs typeface="Arial" panose="020B0604020202020204" pitchFamily="34" charset="0"/>
            </a:rPr>
            <a:t> </a:t>
          </a:r>
          <a:r>
            <a:rPr lang="en-GB" sz="1100" b="0">
              <a:latin typeface="Arial" panose="020B0604020202020204" pitchFamily="34" charset="0"/>
              <a:cs typeface="Arial" panose="020B0604020202020204" pitchFamily="34" charset="0"/>
            </a:rPr>
            <a:t>adjust the date of the latest nowcast = </a:t>
          </a:r>
          <a:r>
            <a:rPr lang="en-GB" sz="1100" b="1">
              <a:latin typeface="Arial" panose="020B0604020202020204" pitchFamily="34" charset="0"/>
              <a:cs typeface="Arial" panose="020B0604020202020204" pitchFamily="34" charset="0"/>
            </a:rPr>
            <a:t>cell I6</a:t>
          </a:r>
        </a:p>
        <a:p>
          <a:pPr>
            <a:lnSpc>
              <a:spcPct val="150000"/>
            </a:lnSpc>
          </a:pPr>
          <a:r>
            <a:rPr lang="en-GB" sz="1100" b="0">
              <a:latin typeface="Arial" panose="020B0604020202020204" pitchFamily="34" charset="0"/>
              <a:cs typeface="Arial" panose="020B0604020202020204" pitchFamily="34" charset="0"/>
            </a:rPr>
            <a:t>8. To compare with the previous nowcast, adjust the</a:t>
          </a:r>
          <a:r>
            <a:rPr lang="en-GB" sz="1100" b="0" baseline="0">
              <a:latin typeface="Arial" panose="020B0604020202020204" pitchFamily="34" charset="0"/>
              <a:cs typeface="Arial" panose="020B0604020202020204" pitchFamily="34" charset="0"/>
            </a:rPr>
            <a:t> </a:t>
          </a:r>
          <a:r>
            <a:rPr lang="en-GB" sz="1100" b="0">
              <a:latin typeface="Arial" panose="020B0604020202020204" pitchFamily="34" charset="0"/>
              <a:cs typeface="Arial" panose="020B0604020202020204" pitchFamily="34" charset="0"/>
            </a:rPr>
            <a:t>date of the previous nowcast = </a:t>
          </a:r>
          <a:r>
            <a:rPr lang="en-GB" sz="1100" b="1">
              <a:latin typeface="Arial" panose="020B0604020202020204" pitchFamily="34" charset="0"/>
              <a:cs typeface="Arial" panose="020B0604020202020204" pitchFamily="34" charset="0"/>
            </a:rPr>
            <a:t>cell L6</a:t>
          </a:r>
        </a:p>
        <a:p>
          <a:pPr lvl="1">
            <a:lnSpc>
              <a:spcPct val="150000"/>
            </a:lnSpc>
          </a:pPr>
          <a:r>
            <a:rPr lang="en-GB" sz="1100" b="0">
              <a:latin typeface="Arial" panose="020B0604020202020204" pitchFamily="34" charset="0"/>
              <a:cs typeface="Arial" panose="020B0604020202020204" pitchFamily="34" charset="0"/>
            </a:rPr>
            <a:t>Ensure that values relate to the desired quarters (if needed, drag formulas in green)</a:t>
          </a:r>
        </a:p>
        <a:p>
          <a:pPr lvl="1">
            <a:lnSpc>
              <a:spcPct val="150000"/>
            </a:lnSpc>
          </a:pPr>
          <a:r>
            <a:rPr lang="en-GB" sz="1100" b="0">
              <a:latin typeface="Arial" panose="020B0604020202020204" pitchFamily="34" charset="0"/>
              <a:cs typeface="Arial" panose="020B0604020202020204" pitchFamily="34" charset="0"/>
            </a:rPr>
            <a:t>Ensure that</a:t>
          </a:r>
          <a:r>
            <a:rPr lang="en-GB" sz="1100" b="0" baseline="0">
              <a:latin typeface="Arial" panose="020B0604020202020204" pitchFamily="34" charset="0"/>
              <a:cs typeface="Arial" panose="020B0604020202020204" pitchFamily="34" charset="0"/>
            </a:rPr>
            <a:t> the values are correct by checking the values directly in the corresponding sheets (named </a:t>
          </a:r>
          <a:r>
            <a:rPr lang="en-GB" sz="1100" b="0" i="1" baseline="0">
              <a:latin typeface="Arial" panose="020B0604020202020204" pitchFamily="34" charset="0"/>
              <a:cs typeface="Arial" panose="020B0604020202020204" pitchFamily="34" charset="0"/>
            </a:rPr>
            <a:t>yyyyQQ</a:t>
          </a:r>
          <a:r>
            <a:rPr lang="en-GB" sz="1100" b="0" baseline="0">
              <a:latin typeface="Arial" panose="020B0604020202020204" pitchFamily="34" charset="0"/>
              <a:cs typeface="Arial" panose="020B0604020202020204" pitchFamily="34" charset="0"/>
            </a:rPr>
            <a:t>)</a:t>
          </a:r>
          <a:endParaRPr lang="en-GB" sz="1100" b="0">
            <a:latin typeface="Arial" panose="020B0604020202020204" pitchFamily="34" charset="0"/>
            <a:cs typeface="Arial" panose="020B0604020202020204" pitchFamily="34" charset="0"/>
          </a:endParaRPr>
        </a:p>
        <a:p>
          <a:pPr>
            <a:lnSpc>
              <a:spcPct val="150000"/>
            </a:lnSpc>
          </a:pPr>
          <a:endParaRPr lang="en-GB" sz="1100" b="1">
            <a:latin typeface="Arial" panose="020B0604020202020204" pitchFamily="34" charset="0"/>
            <a:cs typeface="Arial" panose="020B0604020202020204" pitchFamily="34" charset="0"/>
          </a:endParaRPr>
        </a:p>
        <a:p>
          <a:pPr marL="0" marR="0" lvl="0" indent="0" defTabSz="914400" eaLnBrk="1" fontAlgn="auto" latinLnBrk="0" hangingPunct="1">
            <a:lnSpc>
              <a:spcPct val="150000"/>
            </a:lnSpc>
            <a:spcBef>
              <a:spcPts val="0"/>
            </a:spcBef>
            <a:spcAft>
              <a:spcPts val="0"/>
            </a:spcAft>
            <a:buClrTx/>
            <a:buSzTx/>
            <a:buFontTx/>
            <a:buNone/>
            <a:tabLst/>
            <a:defRPr/>
          </a:pPr>
          <a:r>
            <a:rPr lang="en-GB" sz="1100" b="1" i="1">
              <a:solidFill>
                <a:schemeClr val="dk1"/>
              </a:solidFill>
              <a:effectLst/>
              <a:latin typeface="Arial" panose="020B0604020202020204" pitchFamily="34" charset="0"/>
              <a:ea typeface="+mn-ea"/>
              <a:cs typeface="Arial" panose="020B0604020202020204" pitchFamily="34" charset="0"/>
            </a:rPr>
            <a:t>CHARTS WITH ALTERNATIVE</a:t>
          </a:r>
          <a:r>
            <a:rPr lang="en-GB" sz="1100" b="1" i="1" baseline="0">
              <a:solidFill>
                <a:schemeClr val="dk1"/>
              </a:solidFill>
              <a:effectLst/>
              <a:latin typeface="Arial" panose="020B0604020202020204" pitchFamily="34" charset="0"/>
              <a:ea typeface="+mn-ea"/>
              <a:cs typeface="Arial" panose="020B0604020202020204" pitchFamily="34" charset="0"/>
            </a:rPr>
            <a:t> MODELS (EITHER ALL OR SELECTED)</a:t>
          </a:r>
          <a:endParaRPr lang="en-GB">
            <a:effectLst/>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Ensure that the</a:t>
          </a:r>
          <a:r>
            <a:rPr lang="en-GB" sz="1100" b="0" baseline="0">
              <a:latin typeface="Arial" panose="020B0604020202020204" pitchFamily="34" charset="0"/>
              <a:cs typeface="Arial" panose="020B0604020202020204" pitchFamily="34" charset="0"/>
            </a:rPr>
            <a:t> option </a:t>
          </a:r>
          <a:r>
            <a:rPr lang="en-GB" sz="1100" b="0" i="1" baseline="0">
              <a:latin typeface="Arial" panose="020B0604020202020204" pitchFamily="34" charset="0"/>
              <a:cs typeface="Arial" panose="020B0604020202020204" pitchFamily="34" charset="0"/>
            </a:rPr>
            <a:t>"do_range"</a:t>
          </a:r>
          <a:r>
            <a:rPr lang="en-GB" sz="1100" b="0" baseline="0">
              <a:latin typeface="Arial" panose="020B0604020202020204" pitchFamily="34" charset="0"/>
              <a:cs typeface="Arial" panose="020B0604020202020204" pitchFamily="34" charset="0"/>
            </a:rPr>
            <a:t> was set to 1 in the code </a:t>
          </a:r>
          <a:r>
            <a:rPr lang="en-GB" sz="1100" b="0" i="1" baseline="0">
              <a:latin typeface="Arial" panose="020B0604020202020204" pitchFamily="34" charset="0"/>
              <a:cs typeface="Arial" panose="020B0604020202020204" pitchFamily="34" charset="0"/>
            </a:rPr>
            <a:t>Nowcast_main</a:t>
          </a:r>
        </a:p>
        <a:p>
          <a:pPr>
            <a:lnSpc>
              <a:spcPct val="150000"/>
            </a:lnSpc>
          </a:pPr>
          <a:r>
            <a:rPr lang="en-GB" sz="1100" b="0" baseline="0">
              <a:latin typeface="Arial" panose="020B0604020202020204" pitchFamily="34" charset="0"/>
              <a:cs typeface="Arial" panose="020B0604020202020204" pitchFamily="34" charset="0"/>
            </a:rPr>
            <a:t>2. </a:t>
          </a:r>
          <a:r>
            <a:rPr lang="en-GB" sz="1100" b="0">
              <a:latin typeface="Arial" panose="020B0604020202020204" pitchFamily="34" charset="0"/>
              <a:cs typeface="Arial" panose="020B0604020202020204" pitchFamily="34" charset="0"/>
            </a:rPr>
            <a:t>Do the procedure</a:t>
          </a:r>
          <a:r>
            <a:rPr lang="en-GB" sz="1100" b="0" baseline="0">
              <a:latin typeface="Arial" panose="020B0604020202020204" pitchFamily="34" charset="0"/>
              <a:cs typeface="Arial" panose="020B0604020202020204" pitchFamily="34" charset="0"/>
            </a:rPr>
            <a:t> above for the baseline chart</a:t>
          </a:r>
          <a:endParaRPr lang="en-GB" sz="1100" b="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3. Ensure that the links are correctly made for quarterly-formatted</a:t>
          </a:r>
          <a:r>
            <a:rPr lang="en-GB" sz="1100" b="0" baseline="0">
              <a:latin typeface="Arial" panose="020B0604020202020204" pitchFamily="34" charset="0"/>
              <a:cs typeface="Arial" panose="020B0604020202020204" pitchFamily="34" charset="0"/>
            </a:rPr>
            <a:t> dates in </a:t>
          </a:r>
          <a:r>
            <a:rPr lang="en-GB" sz="1100" b="1" baseline="0">
              <a:latin typeface="Arial" panose="020B0604020202020204" pitchFamily="34" charset="0"/>
              <a:cs typeface="Arial" panose="020B0604020202020204" pitchFamily="34" charset="0"/>
            </a:rPr>
            <a:t>column U</a:t>
          </a:r>
        </a:p>
        <a:p>
          <a:pPr lvl="0">
            <a:lnSpc>
              <a:spcPct val="150000"/>
            </a:lnSpc>
          </a:pPr>
          <a:r>
            <a:rPr lang="en-GB" sz="1100" b="0" i="0">
              <a:latin typeface="Arial" panose="020B0604020202020204" pitchFamily="34" charset="0"/>
              <a:cs typeface="Arial" panose="020B0604020202020204" pitchFamily="34" charset="0"/>
            </a:rPr>
            <a:t>4. If needed, drag down the formula</a:t>
          </a:r>
          <a:r>
            <a:rPr lang="en-GB" sz="1100" b="0" i="0" baseline="0">
              <a:latin typeface="Arial" panose="020B0604020202020204" pitchFamily="34" charset="0"/>
              <a:cs typeface="Arial" panose="020B0604020202020204" pitchFamily="34" charset="0"/>
            </a:rPr>
            <a:t> to get the nowcasts in columns on the right of </a:t>
          </a:r>
          <a:r>
            <a:rPr lang="en-GB" sz="1100" b="1" i="0" baseline="0">
              <a:latin typeface="Arial" panose="020B0604020202020204" pitchFamily="34" charset="0"/>
              <a:cs typeface="Arial" panose="020B0604020202020204" pitchFamily="34" charset="0"/>
            </a:rPr>
            <a:t>column U</a:t>
          </a:r>
        </a:p>
        <a:p>
          <a:pPr lvl="1">
            <a:lnSpc>
              <a:spcPct val="150000"/>
            </a:lnSpc>
          </a:pPr>
          <a:r>
            <a:rPr lang="en-GB" sz="1100" b="0" i="0" baseline="0">
              <a:latin typeface="Arial" panose="020B0604020202020204" pitchFamily="34" charset="0"/>
              <a:cs typeface="Arial" panose="020B0604020202020204" pitchFamily="34" charset="0"/>
            </a:rPr>
            <a:t>Ensure that the values are correct by checking the values directly in the sheet </a:t>
          </a:r>
          <a:r>
            <a:rPr lang="en-GB" sz="1100" b="0" i="1" baseline="0">
              <a:latin typeface="Arial" panose="020B0604020202020204" pitchFamily="34" charset="0"/>
              <a:cs typeface="Arial" panose="020B0604020202020204" pitchFamily="34" charset="0"/>
            </a:rPr>
            <a:t>Range</a:t>
          </a:r>
        </a:p>
        <a:p>
          <a:pPr lvl="1">
            <a:lnSpc>
              <a:spcPct val="150000"/>
            </a:lnSpc>
          </a:pPr>
          <a:r>
            <a:rPr lang="en-GB" sz="1100" b="0" i="0" baseline="0">
              <a:latin typeface="Arial" panose="020B0604020202020204" pitchFamily="34" charset="0"/>
              <a:cs typeface="Arial" panose="020B0604020202020204" pitchFamily="34" charset="0"/>
            </a:rPr>
            <a:t>Ensure that the number and names of the altnerative models match between </a:t>
          </a:r>
          <a:r>
            <a:rPr lang="en-GB" sz="1100" b="1" i="0" baseline="0">
              <a:latin typeface="Arial" panose="020B0604020202020204" pitchFamily="34" charset="0"/>
              <a:cs typeface="Arial" panose="020B0604020202020204" pitchFamily="34" charset="0"/>
            </a:rPr>
            <a:t>row 2</a:t>
          </a:r>
          <a:r>
            <a:rPr lang="en-GB" sz="1100" b="0" i="0" baseline="0">
              <a:latin typeface="Arial" panose="020B0604020202020204" pitchFamily="34" charset="0"/>
              <a:cs typeface="Arial" panose="020B0604020202020204" pitchFamily="34" charset="0"/>
            </a:rPr>
            <a:t> and </a:t>
          </a:r>
          <a:r>
            <a:rPr lang="en-GB" sz="1100" b="1" i="0" baseline="0">
              <a:latin typeface="Arial" panose="020B0604020202020204" pitchFamily="34" charset="0"/>
              <a:cs typeface="Arial" panose="020B0604020202020204" pitchFamily="34" charset="0"/>
            </a:rPr>
            <a:t>column A</a:t>
          </a:r>
          <a:r>
            <a:rPr lang="en-GB" sz="1100" b="0" i="0" baseline="0">
              <a:latin typeface="Arial" panose="020B0604020202020204" pitchFamily="34" charset="0"/>
              <a:cs typeface="Arial" panose="020B0604020202020204" pitchFamily="34" charset="0"/>
            </a:rPr>
            <a:t> in the sheet </a:t>
          </a:r>
          <a:r>
            <a:rPr lang="en-GB" sz="1100" b="0" i="1" baseline="0">
              <a:latin typeface="Arial" panose="020B0604020202020204" pitchFamily="34" charset="0"/>
              <a:cs typeface="Arial" panose="020B0604020202020204" pitchFamily="34" charset="0"/>
            </a:rPr>
            <a:t>Range</a:t>
          </a:r>
        </a:p>
        <a:p>
          <a:pPr lvl="0">
            <a:lnSpc>
              <a:spcPct val="150000"/>
            </a:lnSpc>
          </a:pPr>
          <a:r>
            <a:rPr lang="en-GB" sz="1100" b="0" i="0" baseline="0">
              <a:latin typeface="Arial" panose="020B0604020202020204" pitchFamily="34" charset="0"/>
              <a:cs typeface="Arial" panose="020B0604020202020204" pitchFamily="34" charset="0"/>
            </a:rPr>
            <a:t>5. If needed, change the selection of alternative model(s) in the chart with the selected model(s) in the bottom right.</a:t>
          </a:r>
        </a:p>
        <a:p>
          <a:pPr>
            <a:lnSpc>
              <a:spcPct val="150000"/>
            </a:lnSpc>
          </a:pPr>
          <a:endParaRPr lang="en-GB" sz="1100" b="1">
            <a:latin typeface="Arial" panose="020B0604020202020204" pitchFamily="34" charset="0"/>
            <a:cs typeface="Arial" panose="020B0604020202020204" pitchFamily="34" charset="0"/>
          </a:endParaRPr>
        </a:p>
      </xdr:txBody>
    </xdr:sp>
    <xdr:clientData/>
  </xdr:twoCellAnchor>
  <xdr:twoCellAnchor>
    <xdr:from>
      <xdr:col>17</xdr:col>
      <xdr:colOff>252341</xdr:colOff>
      <xdr:row>3</xdr:row>
      <xdr:rowOff>147747</xdr:rowOff>
    </xdr:from>
    <xdr:to>
      <xdr:col>17</xdr:col>
      <xdr:colOff>3852341</xdr:colOff>
      <xdr:row>17</xdr:row>
      <xdr:rowOff>212747</xdr:rowOff>
    </xdr:to>
    <xdr:graphicFrame macro="">
      <xdr:nvGraphicFramePr>
        <xdr:cNvPr id="9" name="Chart 8">
          <a:extLst>
            <a:ext uri="{FF2B5EF4-FFF2-40B4-BE49-F238E27FC236}">
              <a16:creationId xmlns:a16="http://schemas.microsoft.com/office/drawing/2014/main" id="{72C862DB-A7B4-E90E-A5AC-20A26633BA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230796</xdr:colOff>
      <xdr:row>24</xdr:row>
      <xdr:rowOff>146636</xdr:rowOff>
    </xdr:from>
    <xdr:to>
      <xdr:col>14</xdr:col>
      <xdr:colOff>3830796</xdr:colOff>
      <xdr:row>38</xdr:row>
      <xdr:rowOff>211636</xdr:rowOff>
    </xdr:to>
    <xdr:graphicFrame macro="">
      <xdr:nvGraphicFramePr>
        <xdr:cNvPr id="5" name="Chart 4">
          <a:extLst>
            <a:ext uri="{FF2B5EF4-FFF2-40B4-BE49-F238E27FC236}">
              <a16:creationId xmlns:a16="http://schemas.microsoft.com/office/drawing/2014/main" id="{81E2BC13-035E-4498-8BF4-6A8CEFD7A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252341</xdr:colOff>
      <xdr:row>24</xdr:row>
      <xdr:rowOff>146636</xdr:rowOff>
    </xdr:from>
    <xdr:to>
      <xdr:col>17</xdr:col>
      <xdr:colOff>3852341</xdr:colOff>
      <xdr:row>38</xdr:row>
      <xdr:rowOff>215759</xdr:rowOff>
    </xdr:to>
    <xdr:graphicFrame macro="">
      <xdr:nvGraphicFramePr>
        <xdr:cNvPr id="3" name="Chart 2">
          <a:extLst>
            <a:ext uri="{FF2B5EF4-FFF2-40B4-BE49-F238E27FC236}">
              <a16:creationId xmlns:a16="http://schemas.microsoft.com/office/drawing/2014/main" id="{36EB0539-8182-5B67-B975-CBA22AD6F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33</xdr:col>
      <xdr:colOff>59532</xdr:colOff>
      <xdr:row>0</xdr:row>
      <xdr:rowOff>178820</xdr:rowOff>
    </xdr:from>
    <xdr:to>
      <xdr:col>42</xdr:col>
      <xdr:colOff>64264</xdr:colOff>
      <xdr:row>19</xdr:row>
      <xdr:rowOff>220890</xdr:rowOff>
    </xdr:to>
    <xdr:sp macro="" textlink="">
      <xdr:nvSpPr>
        <xdr:cNvPr id="2" name="TextBox 1">
          <a:extLst>
            <a:ext uri="{FF2B5EF4-FFF2-40B4-BE49-F238E27FC236}">
              <a16:creationId xmlns:a16="http://schemas.microsoft.com/office/drawing/2014/main" id="{62A9F6D7-BD3D-4896-B8EC-E13BEB28A210}"/>
            </a:ext>
          </a:extLst>
        </xdr:cNvPr>
        <xdr:cNvSpPr txBox="1"/>
      </xdr:nvSpPr>
      <xdr:spPr>
        <a:xfrm>
          <a:off x="29396532" y="178820"/>
          <a:ext cx="5515625" cy="5988391"/>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 into </a:t>
          </a:r>
          <a:r>
            <a:rPr lang="en-GB" sz="1100" b="1" baseline="0">
              <a:latin typeface="Arial" panose="020B0604020202020204" pitchFamily="34" charset="0"/>
              <a:cs typeface="Arial" panose="020B0604020202020204" pitchFamily="34" charset="0"/>
            </a:rPr>
            <a:t>columns A to T</a:t>
          </a:r>
        </a:p>
        <a:p>
          <a:pPr lvl="1">
            <a:lnSpc>
              <a:spcPct val="150000"/>
            </a:lnSpc>
          </a:pPr>
          <a:r>
            <a:rPr lang="en-GB" sz="1100" b="1" baseline="0">
              <a:latin typeface="Arial" panose="020B0604020202020204" pitchFamily="34" charset="0"/>
              <a:cs typeface="Arial" panose="020B0604020202020204" pitchFamily="34" charset="0"/>
            </a:rPr>
            <a:t>Columns A and B</a:t>
          </a:r>
          <a:r>
            <a:rPr lang="en-GB" sz="1100" b="0" baseline="0">
              <a:latin typeface="Arial" panose="020B0604020202020204" pitchFamily="34" charset="0"/>
              <a:cs typeface="Arial" panose="020B0604020202020204" pitchFamily="34" charset="0"/>
            </a:rPr>
            <a:t> are respectively the group name and the variable name</a:t>
          </a:r>
        </a:p>
        <a:p>
          <a:pPr lvl="1">
            <a:lnSpc>
              <a:spcPct val="150000"/>
            </a:lnSpc>
          </a:pPr>
          <a:r>
            <a:rPr lang="en-GB" sz="1100" b="1" baseline="0">
              <a:latin typeface="Arial" panose="020B0604020202020204" pitchFamily="34" charset="0"/>
              <a:cs typeface="Arial" panose="020B0604020202020204" pitchFamily="34" charset="0"/>
            </a:rPr>
            <a:t>Columns C to T</a:t>
          </a:r>
          <a:r>
            <a:rPr lang="en-GB" sz="1100" b="0" baseline="0">
              <a:latin typeface="Arial" panose="020B0604020202020204" pitchFamily="34" charset="0"/>
              <a:cs typeface="Arial" panose="020B0604020202020204" pitchFamily="34" charset="0"/>
            </a:rPr>
            <a:t> are z-scores</a:t>
          </a:r>
        </a:p>
        <a:p>
          <a:pPr lvl="1">
            <a:lnSpc>
              <a:spcPct val="150000"/>
            </a:lnSpc>
          </a:pPr>
          <a:r>
            <a:rPr lang="en-GB" sz="1100" b="0" baseline="0">
              <a:latin typeface="Arial" panose="020B0604020202020204" pitchFamily="34" charset="0"/>
              <a:cs typeface="Arial" panose="020B0604020202020204" pitchFamily="34" charset="0"/>
            </a:rPr>
            <a:t>On the top are individual series, on the bottom are z-scores by groups. A z-score for a group is the un-weighted average of the individual z-scores of all series belonging to that group</a:t>
          </a:r>
        </a:p>
        <a:p>
          <a:pPr lvl="1">
            <a:lnSpc>
              <a:spcPct val="150000"/>
            </a:lnSpc>
          </a:pPr>
          <a:endParaRPr lang="en-GB" sz="1100" b="0" baseline="0">
            <a:latin typeface="Arial" panose="020B0604020202020204" pitchFamily="34" charset="0"/>
            <a:cs typeface="Arial" panose="020B0604020202020204" pitchFamily="34" charset="0"/>
          </a:endParaRPr>
        </a:p>
        <a:p>
          <a:pPr lvl="0">
            <a:lnSpc>
              <a:spcPct val="150000"/>
            </a:lnSpc>
          </a:pPr>
          <a:r>
            <a:rPr lang="en-GB" sz="1100" b="1" i="1" baseline="0">
              <a:latin typeface="Arial" panose="020B0604020202020204" pitchFamily="34" charset="0"/>
              <a:cs typeface="Arial" panose="020B0604020202020204" pitchFamily="34" charset="0"/>
            </a:rPr>
            <a:t>HEATMAP FOR INDIVIDUAL SERIES</a:t>
          </a:r>
        </a:p>
        <a:p>
          <a:pPr>
            <a:lnSpc>
              <a:spcPct val="150000"/>
            </a:lnSpc>
          </a:pPr>
          <a:r>
            <a:rPr lang="en-GB" sz="1100" b="0">
              <a:latin typeface="Arial" panose="020B0604020202020204" pitchFamily="34" charset="0"/>
              <a:cs typeface="Arial" panose="020B0604020202020204" pitchFamily="34" charset="0"/>
            </a:rPr>
            <a:t>1. Check that the months in the heatmap</a:t>
          </a:r>
          <a:r>
            <a:rPr lang="en-GB" sz="1100" b="0" baseline="0">
              <a:latin typeface="Arial" panose="020B0604020202020204" pitchFamily="34" charset="0"/>
              <a:cs typeface="Arial" panose="020B0604020202020204" pitchFamily="34" charset="0"/>
            </a:rPr>
            <a:t> (</a:t>
          </a:r>
          <a:r>
            <a:rPr lang="en-GB" sz="1100" b="1" baseline="0">
              <a:latin typeface="Arial" panose="020B0604020202020204" pitchFamily="34" charset="0"/>
              <a:cs typeface="Arial" panose="020B0604020202020204" pitchFamily="34" charset="0"/>
            </a:rPr>
            <a:t>cells X2 to AF2</a:t>
          </a:r>
          <a:r>
            <a:rPr lang="en-GB" sz="1100" b="0" baseline="0">
              <a:latin typeface="Arial" panose="020B0604020202020204" pitchFamily="34" charset="0"/>
              <a:cs typeface="Arial" panose="020B0604020202020204" pitchFamily="34" charset="0"/>
            </a:rPr>
            <a:t>) are the appropriate ones to show</a:t>
          </a:r>
        </a:p>
        <a:p>
          <a:pPr lvl="1">
            <a:lnSpc>
              <a:spcPct val="150000"/>
            </a:lnSpc>
          </a:pPr>
          <a:r>
            <a:rPr lang="en-GB" sz="1100" b="0" baseline="0">
              <a:latin typeface="Arial" panose="020B0604020202020204" pitchFamily="34" charset="0"/>
              <a:cs typeface="Arial" panose="020B0604020202020204" pitchFamily="34" charset="0"/>
            </a:rPr>
            <a:t>If not, update the formula (they are linked to </a:t>
          </a:r>
          <a:r>
            <a:rPr lang="en-GB" sz="1100" b="1" baseline="0">
              <a:latin typeface="Arial" panose="020B0604020202020204" pitchFamily="34" charset="0"/>
              <a:cs typeface="Arial" panose="020B0604020202020204" pitchFamily="34" charset="0"/>
            </a:rPr>
            <a:t>cells A2 to T2</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When changing the months in </a:t>
          </a:r>
          <a:r>
            <a:rPr lang="en-GB" sz="1100" b="1" baseline="0">
              <a:latin typeface="Arial" panose="020B0604020202020204" pitchFamily="34" charset="0"/>
              <a:cs typeface="Arial" panose="020B0604020202020204" pitchFamily="34" charset="0"/>
            </a:rPr>
            <a:t>cells X2 to AF2</a:t>
          </a:r>
          <a:r>
            <a:rPr lang="en-GB" sz="1100" b="0" baseline="0">
              <a:latin typeface="Arial" panose="020B0604020202020204" pitchFamily="34" charset="0"/>
              <a:cs typeface="Arial" panose="020B0604020202020204" pitchFamily="34" charset="0"/>
            </a:rPr>
            <a:t>, do not forget to also adjust the links for coloured cells of the heatmap (rest of </a:t>
          </a:r>
          <a:r>
            <a:rPr lang="en-GB" sz="1100" b="1" baseline="0">
              <a:latin typeface="Arial" panose="020B0604020202020204" pitchFamily="34" charset="0"/>
              <a:cs typeface="Arial" panose="020B0604020202020204" pitchFamily="34" charset="0"/>
            </a:rPr>
            <a:t>columns X to AF</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Coloured cells in the heatmap are automatically formatted with a colour corresponding to their value (see legend at the bottom of the heatmap)</a:t>
          </a:r>
        </a:p>
        <a:p>
          <a:pPr>
            <a:lnSpc>
              <a:spcPct val="150000"/>
            </a:lnSpc>
          </a:pPr>
          <a:r>
            <a:rPr lang="en-GB" sz="1100" b="0">
              <a:latin typeface="Arial" panose="020B0604020202020204" pitchFamily="34" charset="0"/>
              <a:cs typeface="Arial" panose="020B0604020202020204" pitchFamily="34" charset="0"/>
            </a:rPr>
            <a:t>2. If needed, adjust the corresponding</a:t>
          </a:r>
          <a:r>
            <a:rPr lang="en-GB" sz="1100" b="0" baseline="0">
              <a:latin typeface="Arial" panose="020B0604020202020204" pitchFamily="34" charset="0"/>
              <a:cs typeface="Arial" panose="020B0604020202020204" pitchFamily="34" charset="0"/>
            </a:rPr>
            <a:t> quarters in </a:t>
          </a:r>
          <a:r>
            <a:rPr lang="en-GB" sz="1100" b="1" baseline="0">
              <a:latin typeface="Arial" panose="020B0604020202020204" pitchFamily="34" charset="0"/>
              <a:cs typeface="Arial" panose="020B0604020202020204" pitchFamily="34" charset="0"/>
            </a:rPr>
            <a:t>cells X1 to AF1</a:t>
          </a:r>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3. If input variables have changed, adjust the groups in </a:t>
          </a:r>
          <a:r>
            <a:rPr lang="en-GB" sz="1100" b="1">
              <a:latin typeface="Arial" panose="020B0604020202020204" pitchFamily="34" charset="0"/>
              <a:cs typeface="Arial" panose="020B0604020202020204" pitchFamily="34" charset="0"/>
            </a:rPr>
            <a:t>column V</a:t>
          </a:r>
        </a:p>
        <a:p>
          <a:pPr>
            <a:lnSpc>
              <a:spcPct val="150000"/>
            </a:lnSpc>
          </a:pPr>
          <a:endParaRPr lang="en-GB" sz="1100" b="1">
            <a:latin typeface="Arial" panose="020B0604020202020204" pitchFamily="34" charset="0"/>
            <a:cs typeface="Arial" panose="020B0604020202020204" pitchFamily="34" charset="0"/>
          </a:endParaRPr>
        </a:p>
        <a:p>
          <a:pPr>
            <a:lnSpc>
              <a:spcPct val="150000"/>
            </a:lnSpc>
          </a:pPr>
          <a:r>
            <a:rPr lang="en-GB" sz="1100" b="1" i="1">
              <a:latin typeface="Arial" panose="020B0604020202020204" pitchFamily="34" charset="0"/>
              <a:cs typeface="Arial" panose="020B0604020202020204" pitchFamily="34" charset="0"/>
            </a:rPr>
            <a:t>HEATMAP FOR GROUPS OF SERIES</a:t>
          </a:r>
        </a:p>
        <a:p>
          <a:pPr>
            <a:lnSpc>
              <a:spcPct val="150000"/>
            </a:lnSpc>
          </a:pPr>
          <a:r>
            <a:rPr lang="en-GB" sz="1100" b="0">
              <a:latin typeface="Arial" panose="020B0604020202020204" pitchFamily="34" charset="0"/>
              <a:cs typeface="Arial" panose="020B0604020202020204" pitchFamily="34" charset="0"/>
            </a:rPr>
            <a:t>1. Repeat</a:t>
          </a:r>
          <a:r>
            <a:rPr lang="en-GB" sz="1100" b="0" baseline="0">
              <a:latin typeface="Arial" panose="020B0604020202020204" pitchFamily="34" charset="0"/>
              <a:cs typeface="Arial" panose="020B0604020202020204" pitchFamily="34" charset="0"/>
            </a:rPr>
            <a:t> the procedure for individual series, but for the aggregate heatmap below (still in </a:t>
          </a:r>
          <a:r>
            <a:rPr lang="en-GB" sz="1100" b="1" baseline="0">
              <a:latin typeface="Arial" panose="020B0604020202020204" pitchFamily="34" charset="0"/>
              <a:cs typeface="Arial" panose="020B0604020202020204" pitchFamily="34" charset="0"/>
            </a:rPr>
            <a:t>columns X to AF</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NB: the headers (quarters and months) are repeated also on the aggregate heatmap below for ease of integration in presentations)</a:t>
          </a:r>
          <a:endParaRPr lang="en-GB" sz="1100" b="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607217</xdr:colOff>
      <xdr:row>1</xdr:row>
      <xdr:rowOff>0</xdr:rowOff>
    </xdr:from>
    <xdr:to>
      <xdr:col>15</xdr:col>
      <xdr:colOff>53830</xdr:colOff>
      <xdr:row>12</xdr:row>
      <xdr:rowOff>71437</xdr:rowOff>
    </xdr:to>
    <xdr:sp macro="" textlink="">
      <xdr:nvSpPr>
        <xdr:cNvPr id="2" name="TextBox 1">
          <a:extLst>
            <a:ext uri="{FF2B5EF4-FFF2-40B4-BE49-F238E27FC236}">
              <a16:creationId xmlns:a16="http://schemas.microsoft.com/office/drawing/2014/main" id="{34ACFA44-0147-4199-B170-0AAEA24260BA}"/>
            </a:ext>
          </a:extLst>
        </xdr:cNvPr>
        <xdr:cNvSpPr txBox="1"/>
      </xdr:nvSpPr>
      <xdr:spPr>
        <a:xfrm>
          <a:off x="5726905" y="190500"/>
          <a:ext cx="5518800" cy="216693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Ensure that the option "do_range" was set to 1 in the code </a:t>
          </a:r>
          <a:r>
            <a:rPr lang="en-GB" sz="1100" b="0" i="1">
              <a:latin typeface="Arial" panose="020B0604020202020204" pitchFamily="34" charset="0"/>
              <a:cs typeface="Arial" panose="020B0604020202020204" pitchFamily="34" charset="0"/>
            </a:rPr>
            <a:t>Nowcast_main</a:t>
          </a:r>
        </a:p>
        <a:p>
          <a:pPr>
            <a:lnSpc>
              <a:spcPct val="150000"/>
            </a:lnSpc>
          </a:pPr>
          <a:r>
            <a:rPr lang="en-GB" sz="1100" b="0">
              <a:latin typeface="Arial" panose="020B0604020202020204" pitchFamily="34" charset="0"/>
              <a:cs typeface="Arial" panose="020B0604020202020204" pitchFamily="34" charset="0"/>
            </a:rPr>
            <a:t>2. Data are automatically pasted</a:t>
          </a:r>
          <a:r>
            <a:rPr lang="en-GB" sz="1100" b="0" baseline="0">
              <a:latin typeface="Arial" panose="020B0604020202020204" pitchFamily="34" charset="0"/>
              <a:cs typeface="Arial" panose="020B0604020202020204" pitchFamily="34" charset="0"/>
            </a:rPr>
            <a:t> from Matlab into </a:t>
          </a:r>
          <a:r>
            <a:rPr lang="en-GB" sz="1100" b="1" baseline="0">
              <a:latin typeface="Arial" panose="020B0604020202020204" pitchFamily="34" charset="0"/>
              <a:cs typeface="Arial" panose="020B0604020202020204" pitchFamily="34" charset="0"/>
            </a:rPr>
            <a:t>columns A to C</a:t>
          </a:r>
        </a:p>
        <a:p>
          <a:pPr lvl="1">
            <a:lnSpc>
              <a:spcPct val="150000"/>
            </a:lnSpc>
          </a:pPr>
          <a:r>
            <a:rPr lang="en-GB" sz="1100" b="1" baseline="0">
              <a:latin typeface="Arial" panose="020B0604020202020204" pitchFamily="34" charset="0"/>
              <a:cs typeface="Arial" panose="020B0604020202020204" pitchFamily="34" charset="0"/>
            </a:rPr>
            <a:t>Column A </a:t>
          </a:r>
          <a:r>
            <a:rPr lang="en-GB" sz="1100" b="0" baseline="0">
              <a:latin typeface="Arial" panose="020B0604020202020204" pitchFamily="34" charset="0"/>
              <a:cs typeface="Arial" panose="020B0604020202020204" pitchFamily="34" charset="0"/>
            </a:rPr>
            <a:t>is the model specification, listing which group(s) have been excluded</a:t>
          </a:r>
        </a:p>
        <a:p>
          <a:pPr lvl="1">
            <a:lnSpc>
              <a:spcPct val="150000"/>
            </a:lnSpc>
          </a:pPr>
          <a:r>
            <a:rPr lang="en-GB" sz="1100" b="1" baseline="0">
              <a:latin typeface="Arial" panose="020B0604020202020204" pitchFamily="34" charset="0"/>
              <a:cs typeface="Arial" panose="020B0604020202020204" pitchFamily="34" charset="0"/>
            </a:rPr>
            <a:t>Columns B and C</a:t>
          </a:r>
          <a:r>
            <a:rPr lang="en-GB" sz="1100" b="0" baseline="0">
              <a:latin typeface="Arial" panose="020B0604020202020204" pitchFamily="34" charset="0"/>
              <a:cs typeface="Arial" panose="020B0604020202020204" pitchFamily="34" charset="0"/>
            </a:rPr>
            <a:t> are predictions</a:t>
          </a:r>
        </a:p>
        <a:p>
          <a:pPr>
            <a:lnSpc>
              <a:spcPct val="150000"/>
            </a:lnSpc>
          </a:pPr>
          <a:r>
            <a:rPr lang="en-GB" sz="1100" b="0">
              <a:latin typeface="Arial" panose="020B0604020202020204" pitchFamily="34" charset="0"/>
              <a:cs typeface="Arial" panose="020B0604020202020204" pitchFamily="34" charset="0"/>
            </a:rPr>
            <a:t>3. Charts related to the ranges are availabe in sheet </a:t>
          </a:r>
          <a:r>
            <a:rPr lang="en-GB" sz="1100" b="0" i="1">
              <a:latin typeface="Arial" panose="020B0604020202020204" pitchFamily="34" charset="0"/>
              <a:cs typeface="Arial" panose="020B0604020202020204" pitchFamily="34" charset="0"/>
            </a:rPr>
            <a:t>DFM_BMPE</a:t>
          </a:r>
          <a:r>
            <a:rPr lang="en-GB" sz="1100" b="0" i="0">
              <a:latin typeface="Arial" panose="020B0604020202020204" pitchFamily="34" charset="0"/>
              <a:cs typeface="Arial" panose="020B0604020202020204" pitchFamily="34" charset="0"/>
            </a:rPr>
            <a:t>. Please refer to the user</a:t>
          </a:r>
          <a:r>
            <a:rPr lang="en-GB" sz="1100" b="0" i="0" baseline="0">
              <a:latin typeface="Arial" panose="020B0604020202020204" pitchFamily="34" charset="0"/>
              <a:cs typeface="Arial" panose="020B0604020202020204" pitchFamily="34" charset="0"/>
            </a:rPr>
            <a:t> guide on this sheet for details on updating the charts.</a:t>
          </a:r>
          <a:endParaRPr lang="en-GB" sz="1100" b="1" i="0">
            <a:latin typeface="Arial" panose="020B0604020202020204" pitchFamily="34" charset="0"/>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107951</xdr:colOff>
      <xdr:row>3</xdr:row>
      <xdr:rowOff>141431</xdr:rowOff>
    </xdr:from>
    <xdr:to>
      <xdr:col>16</xdr:col>
      <xdr:colOff>3707950</xdr:colOff>
      <xdr:row>21</xdr:row>
      <xdr:rowOff>56340</xdr:rowOff>
    </xdr:to>
    <xdr:graphicFrame macro="">
      <xdr:nvGraphicFramePr>
        <xdr:cNvPr id="2" name="Chart 1">
          <a:extLst>
            <a:ext uri="{FF2B5EF4-FFF2-40B4-BE49-F238E27FC236}">
              <a16:creationId xmlns:a16="http://schemas.microsoft.com/office/drawing/2014/main" id="{B69664B6-35F3-47C3-A03B-EFBFEE0C8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230994</xdr:colOff>
      <xdr:row>28</xdr:row>
      <xdr:rowOff>71780</xdr:rowOff>
    </xdr:from>
    <xdr:to>
      <xdr:col>16</xdr:col>
      <xdr:colOff>3830994</xdr:colOff>
      <xdr:row>45</xdr:row>
      <xdr:rowOff>171416</xdr:rowOff>
    </xdr:to>
    <xdr:graphicFrame macro="">
      <xdr:nvGraphicFramePr>
        <xdr:cNvPr id="3" name="Chart 2">
          <a:extLst>
            <a:ext uri="{FF2B5EF4-FFF2-40B4-BE49-F238E27FC236}">
              <a16:creationId xmlns:a16="http://schemas.microsoft.com/office/drawing/2014/main" id="{EE11CB15-598D-48DC-B9F2-7AF92EEDB0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333460</xdr:colOff>
      <xdr:row>0</xdr:row>
      <xdr:rowOff>67234</xdr:rowOff>
    </xdr:from>
    <xdr:to>
      <xdr:col>22</xdr:col>
      <xdr:colOff>438389</xdr:colOff>
      <xdr:row>27</xdr:row>
      <xdr:rowOff>46182</xdr:rowOff>
    </xdr:to>
    <xdr:sp macro="" textlink="">
      <xdr:nvSpPr>
        <xdr:cNvPr id="4" name="TextBox 3">
          <a:extLst>
            <a:ext uri="{FF2B5EF4-FFF2-40B4-BE49-F238E27FC236}">
              <a16:creationId xmlns:a16="http://schemas.microsoft.com/office/drawing/2014/main" id="{E721FEAA-0999-4175-ACCC-2A1D5A852F6E}"/>
            </a:ext>
          </a:extLst>
        </xdr:cNvPr>
        <xdr:cNvSpPr txBox="1"/>
      </xdr:nvSpPr>
      <xdr:spPr>
        <a:xfrm>
          <a:off x="21427005" y="67234"/>
          <a:ext cx="5958475" cy="503585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r>
            <a:rPr lang="en-GB" sz="1100" b="0" i="1">
              <a:latin typeface="Arial" panose="020B0604020202020204" pitchFamily="34" charset="0"/>
              <a:cs typeface="Arial" panose="020B0604020202020204" pitchFamily="34" charset="0"/>
            </a:rPr>
            <a:t>CONTRIBUTIONS</a:t>
          </a:r>
          <a:r>
            <a:rPr lang="en-GB" sz="1100" b="0" i="1" baseline="0">
              <a:latin typeface="Arial" panose="020B0604020202020204" pitchFamily="34" charset="0"/>
              <a:cs typeface="Arial" panose="020B0604020202020204" pitchFamily="34" charset="0"/>
            </a:rPr>
            <a:t> CHARTS</a:t>
          </a:r>
          <a:endParaRPr lang="en-GB" sz="1100" b="0" i="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lvl="1">
            <a:lnSpc>
              <a:spcPct val="150000"/>
            </a:lnSpc>
          </a:pPr>
          <a:r>
            <a:rPr lang="en-GB" sz="1100" b="0" baseline="0">
              <a:latin typeface="Arial" panose="020B0604020202020204" pitchFamily="34" charset="0"/>
              <a:cs typeface="Arial" panose="020B0604020202020204" pitchFamily="34" charset="0"/>
            </a:rPr>
            <a:t>On top are contributions for groups; on the bottom are contributions for individual variables. Contributions of groups are the same of contributions of individual variables belonging to that group.</a:t>
          </a:r>
        </a:p>
        <a:p>
          <a:pPr lvl="1">
            <a:lnSpc>
              <a:spcPct val="150000"/>
            </a:lnSpc>
          </a:pPr>
          <a:r>
            <a:rPr lang="en-GB" sz="1100" b="1" baseline="0">
              <a:latin typeface="Arial" panose="020B0604020202020204" pitchFamily="34" charset="0"/>
              <a:cs typeface="Arial" panose="020B0604020202020204" pitchFamily="34" charset="0"/>
            </a:rPr>
            <a:t>Column A </a:t>
          </a:r>
          <a:r>
            <a:rPr lang="en-GB" sz="1100" b="0" baseline="0">
              <a:latin typeface="Arial" panose="020B0604020202020204" pitchFamily="34" charset="0"/>
              <a:cs typeface="Arial" panose="020B0604020202020204" pitchFamily="34" charset="0"/>
            </a:rPr>
            <a:t>are names of groups and individual variables</a:t>
          </a:r>
        </a:p>
        <a:p>
          <a:pPr lvl="1">
            <a:lnSpc>
              <a:spcPct val="150000"/>
            </a:lnSpc>
          </a:pPr>
          <a:r>
            <a:rPr lang="en-GB" sz="1100" b="0" baseline="0">
              <a:latin typeface="Arial" panose="020B0604020202020204" pitchFamily="34" charset="0"/>
              <a:cs typeface="Arial" panose="020B0604020202020204" pitchFamily="34" charset="0"/>
            </a:rPr>
            <a:t>Contributions of individual variables are sorted based on the first prediction (</a:t>
          </a:r>
          <a:r>
            <a:rPr lang="en-GB" sz="1100" b="1" baseline="0">
              <a:latin typeface="Arial" panose="020B0604020202020204" pitchFamily="34" charset="0"/>
              <a:cs typeface="Arial" panose="020B0604020202020204" pitchFamily="34" charset="0"/>
            </a:rPr>
            <a:t>collumn B</a:t>
          </a:r>
          <a:r>
            <a:rPr lang="en-GB" sz="1100" b="0" baseline="0">
              <a:latin typeface="Arial" panose="020B0604020202020204" pitchFamily="34" charset="0"/>
              <a:cs typeface="Arial" panose="020B0604020202020204" pitchFamily="34" charset="0"/>
            </a:rPr>
            <a:t>, backcast or nowcast)</a:t>
          </a:r>
        </a:p>
        <a:p>
          <a:pPr>
            <a:lnSpc>
              <a:spcPct val="150000"/>
            </a:lnSpc>
          </a:pPr>
          <a:r>
            <a:rPr lang="en-GB" sz="1100" b="0">
              <a:latin typeface="Arial" panose="020B0604020202020204" pitchFamily="34" charset="0"/>
              <a:cs typeface="Arial" panose="020B0604020202020204" pitchFamily="34" charset="0"/>
            </a:rPr>
            <a:t>NB: contributions are approximations, they are computed as the news from all data releases since one year prior to first prediction</a:t>
          </a:r>
        </a:p>
        <a:p>
          <a:pPr>
            <a:lnSpc>
              <a:spcPct val="150000"/>
            </a:lnSpc>
          </a:pPr>
          <a:endParaRPr lang="en-GB" sz="1100" b="1" i="0" baseline="0">
            <a:latin typeface="Arial" panose="020B0604020202020204" pitchFamily="34" charset="0"/>
            <a:cs typeface="Arial" panose="020B0604020202020204" pitchFamily="34" charset="0"/>
          </a:endParaRPr>
        </a:p>
        <a:p>
          <a:pPr>
            <a:lnSpc>
              <a:spcPct val="150000"/>
            </a:lnSpc>
          </a:pPr>
          <a:r>
            <a:rPr lang="en-GB" sz="1100" b="0" i="1" baseline="0">
              <a:latin typeface="Arial" panose="020B0604020202020204" pitchFamily="34" charset="0"/>
              <a:cs typeface="Arial" panose="020B0604020202020204" pitchFamily="34" charset="0"/>
            </a:rPr>
            <a:t>NEWS DECOMPOSITION TOOL</a:t>
          </a:r>
        </a:p>
        <a:p>
          <a:pPr>
            <a:lnSpc>
              <a:spcPct val="150000"/>
            </a:lnSpc>
          </a:pPr>
          <a:r>
            <a:rPr lang="en-GB" sz="1100" b="0" i="0" baseline="0">
              <a:latin typeface="Arial" panose="020B0604020202020204" pitchFamily="34" charset="0"/>
              <a:cs typeface="Arial" panose="020B0604020202020204" pitchFamily="34" charset="0"/>
            </a:rPr>
            <a:t>1. In </a:t>
          </a:r>
          <a:r>
            <a:rPr lang="en-GB" sz="1100" b="1" i="0" baseline="0">
              <a:latin typeface="Arial" panose="020B0604020202020204" pitchFamily="34" charset="0"/>
              <a:cs typeface="Arial" panose="020B0604020202020204" pitchFamily="34" charset="0"/>
            </a:rPr>
            <a:t>cell E74</a:t>
          </a:r>
          <a:r>
            <a:rPr lang="en-GB" sz="1100" b="0" i="0" baseline="0">
              <a:latin typeface="Arial" panose="020B0604020202020204" pitchFamily="34" charset="0"/>
              <a:cs typeface="Arial" panose="020B0604020202020204" pitchFamily="34" charset="0"/>
            </a:rPr>
            <a:t>, enter the quarter for which you wish to create a news decomposition</a:t>
          </a:r>
        </a:p>
        <a:p>
          <a:pPr>
            <a:lnSpc>
              <a:spcPct val="150000"/>
            </a:lnSpc>
          </a:pPr>
          <a:r>
            <a:rPr lang="en-GB" sz="1100" b="0" i="0" baseline="0">
              <a:latin typeface="Arial" panose="020B0604020202020204" pitchFamily="34" charset="0"/>
              <a:cs typeface="Arial" panose="020B0604020202020204" pitchFamily="34" charset="0"/>
            </a:rPr>
            <a:t>2. In </a:t>
          </a:r>
          <a:r>
            <a:rPr lang="en-GB" sz="1100" b="1" i="0" baseline="0">
              <a:latin typeface="Arial" panose="020B0604020202020204" pitchFamily="34" charset="0"/>
              <a:cs typeface="Arial" panose="020B0604020202020204" pitchFamily="34" charset="0"/>
            </a:rPr>
            <a:t>cell E75</a:t>
          </a:r>
          <a:r>
            <a:rPr lang="en-GB" sz="1100" b="0" i="0" baseline="0">
              <a:latin typeface="Arial" panose="020B0604020202020204" pitchFamily="34" charset="0"/>
              <a:cs typeface="Arial" panose="020B0604020202020204" pitchFamily="34" charset="0"/>
            </a:rPr>
            <a:t>, enter date of the old nowcast</a:t>
          </a:r>
        </a:p>
        <a:p>
          <a:pPr>
            <a:lnSpc>
              <a:spcPct val="150000"/>
            </a:lnSpc>
          </a:pPr>
          <a:r>
            <a:rPr lang="en-GB" sz="1100" b="0" i="0" baseline="0">
              <a:latin typeface="Arial" panose="020B0604020202020204" pitchFamily="34" charset="0"/>
              <a:cs typeface="Arial" panose="020B0604020202020204" pitchFamily="34" charset="0"/>
            </a:rPr>
            <a:t>3. In </a:t>
          </a:r>
          <a:r>
            <a:rPr lang="en-GB" sz="1100" b="1" i="0" baseline="0">
              <a:latin typeface="Arial" panose="020B0604020202020204" pitchFamily="34" charset="0"/>
              <a:cs typeface="Arial" panose="020B0604020202020204" pitchFamily="34" charset="0"/>
            </a:rPr>
            <a:t>cell E76</a:t>
          </a:r>
          <a:r>
            <a:rPr lang="en-GB" sz="1100" b="0" i="0" baseline="0">
              <a:latin typeface="Arial" panose="020B0604020202020204" pitchFamily="34" charset="0"/>
              <a:cs typeface="Arial" panose="020B0604020202020204" pitchFamily="34" charset="0"/>
            </a:rPr>
            <a:t>, enter date of the new nowcast</a:t>
          </a:r>
        </a:p>
        <a:p>
          <a:pPr>
            <a:lnSpc>
              <a:spcPct val="150000"/>
            </a:lnSpc>
          </a:pPr>
          <a:r>
            <a:rPr lang="en-GB" sz="1100" b="0" i="0" baseline="0">
              <a:latin typeface="Arial" panose="020B0604020202020204" pitchFamily="34" charset="0"/>
              <a:cs typeface="Arial" panose="020B0604020202020204" pitchFamily="34" charset="0"/>
            </a:rPr>
            <a:t>4. The news for each group will automatically be calculated; the chart will be updated automatically</a:t>
          </a:r>
        </a:p>
        <a:p>
          <a:pPr>
            <a:lnSpc>
              <a:spcPct val="150000"/>
            </a:lnSpc>
          </a:pPr>
          <a:r>
            <a:rPr lang="en-GB" sz="1100" b="0" i="0" baseline="0">
              <a:latin typeface="Arial" panose="020B0604020202020204" pitchFamily="34" charset="0"/>
              <a:cs typeface="Arial" panose="020B0604020202020204" pitchFamily="34" charset="0"/>
            </a:rPr>
            <a:t>NB: news decomposition between two dates are approximations obtained by summing over all news for consecutive rounds between the two dates</a:t>
          </a:r>
          <a:endParaRPr lang="en-GB" sz="1100" b="1" i="0">
            <a:latin typeface="Arial" panose="020B0604020202020204" pitchFamily="34" charset="0"/>
            <a:cs typeface="Arial" panose="020B0604020202020204" pitchFamily="34" charset="0"/>
          </a:endParaRPr>
        </a:p>
      </xdr:txBody>
    </xdr:sp>
    <xdr:clientData/>
  </xdr:twoCellAnchor>
  <xdr:twoCellAnchor>
    <xdr:from>
      <xdr:col>16</xdr:col>
      <xdr:colOff>140075</xdr:colOff>
      <xdr:row>69</xdr:row>
      <xdr:rowOff>179295</xdr:rowOff>
    </xdr:from>
    <xdr:to>
      <xdr:col>16</xdr:col>
      <xdr:colOff>3740075</xdr:colOff>
      <xdr:row>87</xdr:row>
      <xdr:rowOff>5237</xdr:rowOff>
    </xdr:to>
    <xdr:graphicFrame macro="">
      <xdr:nvGraphicFramePr>
        <xdr:cNvPr id="9" name="Chart 8">
          <a:extLst>
            <a:ext uri="{FF2B5EF4-FFF2-40B4-BE49-F238E27FC236}">
              <a16:creationId xmlns:a16="http://schemas.microsoft.com/office/drawing/2014/main" id="{37DF2016-DB8F-4201-AA29-06AAC95F9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52</xdr:col>
      <xdr:colOff>135466</xdr:colOff>
      <xdr:row>3</xdr:row>
      <xdr:rowOff>158750</xdr:rowOff>
    </xdr:from>
    <xdr:to>
      <xdr:col>52</xdr:col>
      <xdr:colOff>3735466</xdr:colOff>
      <xdr:row>20</xdr:row>
      <xdr:rowOff>160250</xdr:rowOff>
    </xdr:to>
    <xdr:graphicFrame macro="">
      <xdr:nvGraphicFramePr>
        <xdr:cNvPr id="2" name="Chart 1">
          <a:extLst>
            <a:ext uri="{FF2B5EF4-FFF2-40B4-BE49-F238E27FC236}">
              <a16:creationId xmlns:a16="http://schemas.microsoft.com/office/drawing/2014/main" id="{2C8974E2-DC43-4BAB-8745-BB33976AA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654049</xdr:colOff>
      <xdr:row>5</xdr:row>
      <xdr:rowOff>136524</xdr:rowOff>
    </xdr:from>
    <xdr:to>
      <xdr:col>10</xdr:col>
      <xdr:colOff>429274</xdr:colOff>
      <xdr:row>15</xdr:row>
      <xdr:rowOff>119062</xdr:rowOff>
    </xdr:to>
    <xdr:sp macro="" textlink="">
      <xdr:nvSpPr>
        <xdr:cNvPr id="4" name="TextBox 3">
          <a:extLst>
            <a:ext uri="{FF2B5EF4-FFF2-40B4-BE49-F238E27FC236}">
              <a16:creationId xmlns:a16="http://schemas.microsoft.com/office/drawing/2014/main" id="{6A3DC4BE-A658-4D74-9B0F-09F60058AC15}"/>
            </a:ext>
          </a:extLst>
        </xdr:cNvPr>
        <xdr:cNvSpPr txBox="1"/>
      </xdr:nvSpPr>
      <xdr:spPr>
        <a:xfrm>
          <a:off x="654049" y="1065212"/>
          <a:ext cx="9189100" cy="1808163"/>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If needed,</a:t>
          </a:r>
          <a:r>
            <a:rPr lang="en-GB" sz="1100" b="0" baseline="0">
              <a:latin typeface="Arial" panose="020B0604020202020204" pitchFamily="34" charset="0"/>
              <a:cs typeface="Arial" panose="020B0604020202020204" pitchFamily="34" charset="0"/>
            </a:rPr>
            <a:t> update the chart for news decomposition on the right. This can be down by dragging down the data selected.</a:t>
          </a:r>
        </a:p>
        <a:p>
          <a:pPr>
            <a:lnSpc>
              <a:spcPct val="150000"/>
            </a:lnSpc>
          </a:pPr>
          <a:r>
            <a:rPr lang="en-GB" sz="1100" b="0" i="0" baseline="0">
              <a:latin typeface="Arial" panose="020B0604020202020204" pitchFamily="34" charset="0"/>
              <a:cs typeface="Arial" panose="020B0604020202020204" pitchFamily="34" charset="0"/>
            </a:rPr>
            <a:t>2. When Matlab creates a new sheet (for a new quarter that had not been forecasted before), please copy and paste the chart on the right to the new sheet. Then adjust the data selected in the chart to the new sheet.</a:t>
          </a:r>
          <a:endParaRPr lang="en-GB" sz="1100" b="1" i="0">
            <a:latin typeface="Arial" panose="020B0604020202020204" pitchFamily="34" charset="0"/>
            <a:cs typeface="Arial" panose="020B06040202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52</xdr:col>
      <xdr:colOff>159278</xdr:colOff>
      <xdr:row>3</xdr:row>
      <xdr:rowOff>99219</xdr:rowOff>
    </xdr:from>
    <xdr:to>
      <xdr:col>52</xdr:col>
      <xdr:colOff>3759278</xdr:colOff>
      <xdr:row>20</xdr:row>
      <xdr:rowOff>100719</xdr:rowOff>
    </xdr:to>
    <xdr:graphicFrame macro="">
      <xdr:nvGraphicFramePr>
        <xdr:cNvPr id="3" name="Chart 2">
          <a:extLst>
            <a:ext uri="{FF2B5EF4-FFF2-40B4-BE49-F238E27FC236}">
              <a16:creationId xmlns:a16="http://schemas.microsoft.com/office/drawing/2014/main" id="{B1E04545-E9F3-4056-BFC9-6AF4F99DF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666750</xdr:colOff>
      <xdr:row>5</xdr:row>
      <xdr:rowOff>54541</xdr:rowOff>
    </xdr:from>
    <xdr:to>
      <xdr:col>10</xdr:col>
      <xdr:colOff>424513</xdr:colOff>
      <xdr:row>15</xdr:row>
      <xdr:rowOff>106135</xdr:rowOff>
    </xdr:to>
    <xdr:sp macro="" textlink="">
      <xdr:nvSpPr>
        <xdr:cNvPr id="4" name="TextBox 3">
          <a:extLst>
            <a:ext uri="{FF2B5EF4-FFF2-40B4-BE49-F238E27FC236}">
              <a16:creationId xmlns:a16="http://schemas.microsoft.com/office/drawing/2014/main" id="{8C64F366-3C0C-4D7D-8470-28204768149B}"/>
            </a:ext>
          </a:extLst>
        </xdr:cNvPr>
        <xdr:cNvSpPr txBox="1"/>
      </xdr:nvSpPr>
      <xdr:spPr>
        <a:xfrm>
          <a:off x="666750" y="979827"/>
          <a:ext cx="6470620" cy="1865879"/>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If needed,</a:t>
          </a:r>
          <a:r>
            <a:rPr lang="en-GB" sz="1100" b="0" baseline="0">
              <a:latin typeface="Arial" panose="020B0604020202020204" pitchFamily="34" charset="0"/>
              <a:cs typeface="Arial" panose="020B0604020202020204" pitchFamily="34" charset="0"/>
            </a:rPr>
            <a:t> update the chart for news decomposition on the right (</a:t>
          </a:r>
          <a:r>
            <a:rPr lang="en-GB" sz="1100" b="1" baseline="0">
              <a:latin typeface="Arial" panose="020B0604020202020204" pitchFamily="34" charset="0"/>
              <a:cs typeface="Arial" panose="020B0604020202020204" pitchFamily="34" charset="0"/>
            </a:rPr>
            <a:t>column AZ</a:t>
          </a:r>
          <a:r>
            <a:rPr lang="en-GB" sz="1100" b="0" baseline="0">
              <a:latin typeface="Arial" panose="020B0604020202020204" pitchFamily="34" charset="0"/>
              <a:cs typeface="Arial" panose="020B0604020202020204" pitchFamily="34" charset="0"/>
            </a:rPr>
            <a:t>). This can be down by dragging down the data selected.</a:t>
          </a:r>
        </a:p>
        <a:p>
          <a:pPr>
            <a:lnSpc>
              <a:spcPct val="150000"/>
            </a:lnSpc>
          </a:pPr>
          <a:r>
            <a:rPr lang="en-GB" sz="1100" b="0" i="0" baseline="0">
              <a:latin typeface="Arial" panose="020B0604020202020204" pitchFamily="34" charset="0"/>
              <a:cs typeface="Arial" panose="020B0604020202020204" pitchFamily="34" charset="0"/>
            </a:rPr>
            <a:t>2. When Matlab creates a new sheet (for a new quarter that had not been forecasted before), please copy and paste the chart on the right to the new sheet. Then adjust the data selected in the chart to the new sheet.</a:t>
          </a:r>
          <a:endParaRPr lang="en-GB" sz="1100" b="1" i="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683D8-CD18-4ECA-ABD7-842710A628B8}">
  <sheetPr>
    <tabColor theme="1"/>
  </sheetPr>
  <dimension ref="B2:J15"/>
  <sheetViews>
    <sheetView showGridLines="0" zoomScale="80" zoomScaleNormal="80" workbookViewId="0">
      <selection activeCell="K26" sqref="K26"/>
    </sheetView>
  </sheetViews>
  <sheetFormatPr defaultRowHeight="14.6" x14ac:dyDescent="0.4"/>
  <cols>
    <col min="1" max="1" width="1.53515625" customWidth="1"/>
    <col min="2" max="2" width="5.4609375" customWidth="1"/>
    <col min="3" max="3" width="47.53515625" customWidth="1"/>
    <col min="9" max="9" width="18.53515625" customWidth="1"/>
    <col min="10" max="10" width="13.4609375" customWidth="1"/>
  </cols>
  <sheetData>
    <row r="2" spans="2:10" x14ac:dyDescent="0.4">
      <c r="B2" s="3" t="s">
        <v>4</v>
      </c>
      <c r="C2" s="3"/>
      <c r="D2" s="2"/>
      <c r="E2" s="2"/>
      <c r="F2" s="2"/>
      <c r="G2" s="2"/>
      <c r="H2" s="2"/>
      <c r="I2" s="2"/>
      <c r="J2" s="2"/>
    </row>
    <row r="3" spans="2:10" x14ac:dyDescent="0.4">
      <c r="B3" s="4" t="s">
        <v>5</v>
      </c>
      <c r="C3" s="2" t="s">
        <v>11</v>
      </c>
      <c r="D3" s="2"/>
      <c r="E3" s="2"/>
      <c r="F3" s="2"/>
      <c r="G3" s="2"/>
      <c r="H3" s="2"/>
      <c r="I3" s="2"/>
      <c r="J3" s="2"/>
    </row>
    <row r="4" spans="2:10" x14ac:dyDescent="0.4">
      <c r="B4" s="47" t="s">
        <v>5</v>
      </c>
      <c r="C4" s="2" t="s">
        <v>34</v>
      </c>
      <c r="D4" s="2"/>
      <c r="E4" s="2"/>
      <c r="F4" s="2"/>
      <c r="G4" s="2"/>
      <c r="H4" s="2"/>
      <c r="I4" s="2"/>
      <c r="J4" s="2"/>
    </row>
    <row r="5" spans="2:10" x14ac:dyDescent="0.4">
      <c r="B5" s="5" t="s">
        <v>5</v>
      </c>
      <c r="C5" s="2" t="s">
        <v>6</v>
      </c>
      <c r="D5" s="2"/>
      <c r="E5" s="2"/>
      <c r="F5" s="2"/>
      <c r="G5" s="2"/>
      <c r="H5" s="2"/>
      <c r="I5" s="2"/>
      <c r="J5" s="2"/>
    </row>
    <row r="6" spans="2:10" x14ac:dyDescent="0.4">
      <c r="B6" s="6" t="s">
        <v>5</v>
      </c>
      <c r="C6" s="2" t="s">
        <v>7</v>
      </c>
      <c r="D6" s="2"/>
      <c r="E6" s="2"/>
      <c r="F6" s="2"/>
      <c r="G6" s="2"/>
      <c r="H6" s="2"/>
      <c r="I6" s="2"/>
      <c r="J6" s="2"/>
    </row>
    <row r="7" spans="2:10" x14ac:dyDescent="0.4">
      <c r="B7" s="23" t="s">
        <v>5</v>
      </c>
      <c r="C7" s="2" t="s">
        <v>14</v>
      </c>
      <c r="D7" s="2"/>
      <c r="E7" s="2"/>
      <c r="F7" s="2"/>
      <c r="G7" s="2"/>
      <c r="H7" s="2"/>
      <c r="I7" s="2"/>
      <c r="J7" s="2"/>
    </row>
    <row r="8" spans="2:10" x14ac:dyDescent="0.4">
      <c r="B8" s="2"/>
      <c r="C8" s="2"/>
      <c r="D8" s="2"/>
      <c r="E8" s="2"/>
      <c r="F8" s="2"/>
      <c r="G8" s="2"/>
      <c r="H8" s="2"/>
      <c r="I8" s="2"/>
      <c r="J8" s="2"/>
    </row>
    <row r="9" spans="2:10" x14ac:dyDescent="0.4">
      <c r="B9" s="3" t="s">
        <v>8</v>
      </c>
      <c r="C9" s="3"/>
      <c r="D9" s="3"/>
      <c r="E9" s="3"/>
      <c r="F9" s="3"/>
      <c r="G9" s="3"/>
      <c r="H9" s="3"/>
      <c r="I9" s="3"/>
      <c r="J9" s="2"/>
    </row>
    <row r="10" spans="2:10" x14ac:dyDescent="0.4">
      <c r="B10" s="24" t="s">
        <v>35</v>
      </c>
      <c r="C10" s="2"/>
      <c r="D10" s="2"/>
      <c r="E10" s="2"/>
      <c r="F10" s="2"/>
      <c r="G10" s="2"/>
      <c r="H10" s="2"/>
      <c r="I10" s="2"/>
      <c r="J10" s="2"/>
    </row>
    <row r="11" spans="2:10" x14ac:dyDescent="0.4">
      <c r="B11" s="24" t="s">
        <v>36</v>
      </c>
      <c r="C11" s="2"/>
      <c r="D11" s="2"/>
      <c r="E11" s="2"/>
      <c r="F11" s="2"/>
      <c r="G11" s="2"/>
      <c r="H11" s="2"/>
      <c r="I11" s="2"/>
      <c r="J11" s="2"/>
    </row>
    <row r="12" spans="2:10" x14ac:dyDescent="0.4">
      <c r="B12" s="2" t="s">
        <v>9</v>
      </c>
    </row>
    <row r="13" spans="2:10" x14ac:dyDescent="0.4">
      <c r="B13" s="7" t="s">
        <v>10</v>
      </c>
    </row>
    <row r="14" spans="2:10" x14ac:dyDescent="0.4">
      <c r="B14" s="7" t="s">
        <v>2</v>
      </c>
    </row>
    <row r="15" spans="2:10" x14ac:dyDescent="0.4">
      <c r="B15" s="7" t="s">
        <v>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82AB-843B-4AF3-8AB3-DE7819900D0F}">
  <sheetPr>
    <tabColor theme="1"/>
  </sheetPr>
  <dimension ref="A1:O11"/>
  <sheetViews>
    <sheetView workbookViewId="0"/>
  </sheetViews>
  <sheetFormatPr defaultRowHeight="14.6" x14ac:dyDescent="0.4"/>
  <sheetData>
    <row r="1" spans="1:15" x14ac:dyDescent="0.4">
      <c r="A1">
        <v>1</v>
      </c>
      <c r="B1" t="s">
        <v>37</v>
      </c>
    </row>
    <row r="2" spans="1:15" x14ac:dyDescent="0.4">
      <c r="A2" s="15" t="s">
        <v>37</v>
      </c>
      <c r="B2" t="s">
        <v>38</v>
      </c>
      <c r="D2" t="s">
        <v>39</v>
      </c>
      <c r="E2" s="16">
        <v>0</v>
      </c>
      <c r="F2" t="b">
        <v>0</v>
      </c>
      <c r="G2" s="15"/>
      <c r="H2" s="15"/>
      <c r="I2" s="15"/>
      <c r="K2" s="15"/>
      <c r="L2" t="b">
        <v>0</v>
      </c>
      <c r="M2" t="b">
        <v>0</v>
      </c>
      <c r="N2" t="b">
        <v>0</v>
      </c>
      <c r="O2">
        <v>-4142</v>
      </c>
    </row>
    <row r="3" spans="1:15" x14ac:dyDescent="0.4">
      <c r="A3" s="15"/>
      <c r="E3" s="16"/>
      <c r="G3" s="15"/>
      <c r="H3" s="15"/>
      <c r="I3" s="15"/>
      <c r="K3" s="15"/>
    </row>
    <row r="4" spans="1:15" x14ac:dyDescent="0.4">
      <c r="A4" s="15"/>
      <c r="E4" s="16"/>
      <c r="G4" s="15"/>
      <c r="H4" s="15"/>
      <c r="I4" s="15"/>
      <c r="K4" s="15"/>
    </row>
    <row r="5" spans="1:15" x14ac:dyDescent="0.4">
      <c r="A5" s="15"/>
      <c r="E5" s="17"/>
      <c r="G5" s="15"/>
      <c r="H5" s="15"/>
      <c r="I5" s="15"/>
      <c r="K5" s="15"/>
    </row>
    <row r="6" spans="1:15" x14ac:dyDescent="0.4">
      <c r="A6" s="15"/>
      <c r="E6" s="17"/>
      <c r="G6" s="15"/>
      <c r="H6" s="15"/>
      <c r="I6" s="15"/>
      <c r="K6" s="15"/>
    </row>
    <row r="7" spans="1:15" x14ac:dyDescent="0.4">
      <c r="A7" s="15"/>
      <c r="E7" s="16"/>
      <c r="G7" s="15"/>
      <c r="H7" s="15"/>
      <c r="I7" s="15"/>
      <c r="K7" s="15"/>
    </row>
    <row r="8" spans="1:15" x14ac:dyDescent="0.4">
      <c r="A8" s="15"/>
      <c r="E8" s="16"/>
      <c r="G8" s="15"/>
      <c r="H8" s="15"/>
      <c r="I8" s="15"/>
      <c r="K8" s="15"/>
    </row>
    <row r="9" spans="1:15" x14ac:dyDescent="0.4">
      <c r="A9" s="15"/>
      <c r="E9" s="16"/>
      <c r="G9" s="15"/>
      <c r="H9" s="15"/>
      <c r="I9" s="15"/>
      <c r="K9" s="15"/>
    </row>
    <row r="10" spans="1:15" x14ac:dyDescent="0.4">
      <c r="A10" s="15"/>
      <c r="E10" s="16"/>
    </row>
    <row r="11" spans="1:15" x14ac:dyDescent="0.4">
      <c r="A11" s="15"/>
      <c r="E11"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ADFAB-61F9-445D-B407-88113E05D050}">
  <dimension ref="A1:AA224"/>
  <sheetViews>
    <sheetView showGridLines="0" zoomScale="55" zoomScaleNormal="55" workbookViewId="0">
      <selection activeCell="I40" sqref="I40"/>
    </sheetView>
  </sheetViews>
  <sheetFormatPr defaultColWidth="8.53515625" defaultRowHeight="17.600000000000001" x14ac:dyDescent="0.4"/>
  <cols>
    <col min="1" max="1" width="1.4609375" style="8" customWidth="1"/>
    <col min="2" max="2" width="63" style="8" customWidth="1"/>
    <col min="3" max="3" width="3" style="8" customWidth="1"/>
    <col min="4" max="5" width="9.4609375" style="8" customWidth="1"/>
    <col min="6" max="6" width="15.84375" style="9" customWidth="1"/>
    <col min="7" max="7" width="13.15234375" style="9" customWidth="1"/>
    <col min="8" max="12" width="21.23046875" style="9" customWidth="1"/>
    <col min="13" max="13" width="8.53515625" style="108"/>
    <col min="14" max="14" width="9.53515625" style="8" customWidth="1"/>
    <col min="15" max="15" width="57.53515625" style="9" customWidth="1"/>
    <col min="16" max="16" width="9.53515625" style="9" customWidth="1"/>
    <col min="17" max="17" width="9.53515625" style="8" customWidth="1"/>
    <col min="18" max="18" width="57.53515625" style="9" customWidth="1"/>
    <col min="19" max="19" width="9.53515625" style="9" customWidth="1"/>
    <col min="20" max="20" width="8.53515625" style="9"/>
    <col min="21" max="21" width="15.84375" style="9" customWidth="1"/>
    <col min="22" max="25" width="8.53515625" style="9"/>
    <col min="26" max="26" width="8.53515625" style="9" customWidth="1"/>
    <col min="27" max="16384" width="8.53515625" style="9"/>
  </cols>
  <sheetData>
    <row r="1" spans="1:27" ht="18" customHeight="1" x14ac:dyDescent="0.4">
      <c r="I1" s="123" t="s">
        <v>103</v>
      </c>
      <c r="J1" s="106"/>
      <c r="K1" s="107"/>
      <c r="L1" s="123" t="s">
        <v>104</v>
      </c>
      <c r="N1" s="20"/>
      <c r="O1" s="51" t="s">
        <v>113</v>
      </c>
      <c r="P1" s="28"/>
      <c r="Q1" s="20"/>
      <c r="R1" s="51" t="s">
        <v>114</v>
      </c>
      <c r="S1" s="28"/>
    </row>
    <row r="2" spans="1:27" s="12" customFormat="1" ht="18" customHeight="1" x14ac:dyDescent="0.4">
      <c r="A2" s="10"/>
      <c r="B2" s="46"/>
      <c r="C2" s="10"/>
      <c r="D2" s="52"/>
      <c r="E2" s="52"/>
      <c r="F2" s="109" t="s">
        <v>40</v>
      </c>
      <c r="G2" s="109" t="s">
        <v>0</v>
      </c>
      <c r="H2" s="109" t="s">
        <v>41</v>
      </c>
      <c r="I2" s="124" t="str">
        <f>"DFM ("&amp;TEXT(I6,"dd mmm.")&amp;")"</f>
        <v>DFM (12 Sep.)</v>
      </c>
      <c r="J2" s="110" t="s">
        <v>45</v>
      </c>
      <c r="K2" s="110" t="s">
        <v>46</v>
      </c>
      <c r="L2" s="124" t="str">
        <f>"DFM ("&amp;TEXT(L6,"dd mmm.")&amp;")"</f>
        <v>DFM (11 Sep.)</v>
      </c>
      <c r="N2" s="11"/>
      <c r="O2" s="50" t="s">
        <v>12</v>
      </c>
      <c r="P2" s="29"/>
      <c r="Q2" s="11"/>
      <c r="R2" s="50" t="s">
        <v>12</v>
      </c>
      <c r="S2" s="29"/>
      <c r="U2" s="109" t="s">
        <v>40</v>
      </c>
      <c r="V2" s="111" t="s">
        <v>91</v>
      </c>
      <c r="W2" s="111" t="s">
        <v>92</v>
      </c>
      <c r="X2" s="111" t="s">
        <v>93</v>
      </c>
      <c r="Y2" s="111" t="s">
        <v>94</v>
      </c>
      <c r="Z2" s="111" t="s">
        <v>95</v>
      </c>
      <c r="AA2" s="111" t="s">
        <v>96</v>
      </c>
    </row>
    <row r="3" spans="1:27" ht="17.899999999999999" customHeight="1" x14ac:dyDescent="0.4">
      <c r="B3" s="21"/>
      <c r="D3" s="52"/>
      <c r="E3" s="52"/>
      <c r="F3" s="52"/>
      <c r="G3" s="112"/>
      <c r="H3" s="113"/>
      <c r="I3" s="113"/>
      <c r="L3" s="12"/>
      <c r="N3" s="11"/>
      <c r="O3" s="49" t="s">
        <v>13</v>
      </c>
      <c r="P3" s="28"/>
      <c r="Q3" s="11"/>
      <c r="R3" s="49" t="s">
        <v>13</v>
      </c>
      <c r="S3" s="28"/>
      <c r="U3" s="52"/>
    </row>
    <row r="4" spans="1:27" ht="18" customHeight="1" x14ac:dyDescent="0.4">
      <c r="B4" s="21"/>
      <c r="D4" s="52"/>
      <c r="E4" s="52"/>
      <c r="F4" s="52"/>
      <c r="G4" s="114"/>
      <c r="H4" s="113"/>
      <c r="I4" s="113"/>
      <c r="N4" s="11"/>
      <c r="P4" s="28"/>
      <c r="Q4" s="11"/>
      <c r="S4" s="28"/>
      <c r="U4" s="52"/>
    </row>
    <row r="5" spans="1:27" ht="18" customHeight="1" x14ac:dyDescent="0.4">
      <c r="B5" s="21"/>
      <c r="D5" s="52"/>
      <c r="E5" s="52"/>
      <c r="F5" s="52"/>
      <c r="G5" s="115"/>
      <c r="H5" s="116"/>
      <c r="I5" s="113"/>
      <c r="N5" s="11"/>
      <c r="P5" s="28"/>
      <c r="Q5" s="11"/>
      <c r="S5" s="28"/>
      <c r="U5" s="52"/>
    </row>
    <row r="6" spans="1:27" ht="18" customHeight="1" x14ac:dyDescent="0.4">
      <c r="B6" s="21"/>
      <c r="D6" s="52"/>
      <c r="E6" s="52"/>
      <c r="F6" s="52"/>
      <c r="G6" s="115"/>
      <c r="H6" s="116"/>
      <c r="I6" s="117">
        <v>45547</v>
      </c>
      <c r="L6" s="117">
        <v>45546</v>
      </c>
      <c r="N6" s="11"/>
      <c r="P6" s="28"/>
      <c r="Q6" s="11"/>
      <c r="S6" s="28"/>
      <c r="U6" s="52"/>
    </row>
    <row r="7" spans="1:27" ht="18" customHeight="1" x14ac:dyDescent="0.4">
      <c r="B7" s="22"/>
      <c r="G7" s="115"/>
      <c r="H7" s="118"/>
      <c r="N7" s="11"/>
      <c r="P7" s="28"/>
      <c r="Q7" s="11"/>
      <c r="S7" s="28"/>
    </row>
    <row r="8" spans="1:27" ht="18" customHeight="1" x14ac:dyDescent="0.4">
      <c r="B8" s="21"/>
      <c r="G8" s="114"/>
      <c r="H8" s="119"/>
      <c r="I8" s="113"/>
      <c r="L8" s="113"/>
      <c r="N8" s="11"/>
      <c r="P8" s="28"/>
      <c r="Q8" s="11"/>
      <c r="S8" s="28"/>
    </row>
    <row r="9" spans="1:27" ht="18" customHeight="1" x14ac:dyDescent="0.4">
      <c r="B9" s="22"/>
      <c r="F9" s="120" t="str">
        <f>RIGHT(_xlfn.CONCAT(YEAR(G9),"Q",ROUNDUP(MONTH(G9)/3,0)),6)</f>
        <v>2021Q1</v>
      </c>
      <c r="G9" s="116">
        <v>44286</v>
      </c>
      <c r="H9" s="121">
        <v>3.7253307404660601</v>
      </c>
      <c r="I9" s="113"/>
      <c r="L9" s="113"/>
      <c r="N9" s="11"/>
      <c r="P9" s="28"/>
      <c r="Q9" s="11"/>
      <c r="S9" s="28"/>
      <c r="U9" s="122" t="str">
        <f t="shared" ref="U9:U20" si="0">F9</f>
        <v>2021Q1</v>
      </c>
    </row>
    <row r="10" spans="1:27" ht="18" customHeight="1" x14ac:dyDescent="0.4">
      <c r="B10" s="22"/>
      <c r="F10" s="120" t="str">
        <f t="shared" ref="F10:F20" si="1">RIGHT(_xlfn.CONCAT(YEAR(G10),"Q",ROUNDUP(MONTH(G10)/3,0)),6)</f>
        <v>2021Q2</v>
      </c>
      <c r="G10" s="116">
        <v>44377</v>
      </c>
      <c r="H10" s="121">
        <v>1.40141419556321</v>
      </c>
      <c r="N10" s="11"/>
      <c r="P10" s="28"/>
      <c r="Q10" s="11"/>
      <c r="S10" s="28"/>
      <c r="U10" s="122" t="str">
        <f t="shared" si="0"/>
        <v>2021Q2</v>
      </c>
    </row>
    <row r="11" spans="1:27" ht="18" customHeight="1" x14ac:dyDescent="0.4">
      <c r="B11" s="21"/>
      <c r="F11" s="120" t="str">
        <f t="shared" si="1"/>
        <v>2021Q3</v>
      </c>
      <c r="G11" s="116">
        <v>44469</v>
      </c>
      <c r="H11" s="121">
        <v>1.4998436660404599</v>
      </c>
      <c r="I11" s="113"/>
      <c r="L11" s="113"/>
      <c r="N11" s="11"/>
      <c r="P11" s="28"/>
      <c r="Q11" s="11"/>
      <c r="S11" s="28"/>
      <c r="U11" s="122" t="str">
        <f t="shared" si="0"/>
        <v>2021Q3</v>
      </c>
    </row>
    <row r="12" spans="1:27" ht="18" customHeight="1" x14ac:dyDescent="0.4">
      <c r="B12" s="21"/>
      <c r="F12" s="120" t="str">
        <f t="shared" si="1"/>
        <v>2021Q4</v>
      </c>
      <c r="G12" s="116">
        <v>44561</v>
      </c>
      <c r="H12" s="121">
        <v>3.2024630003118801</v>
      </c>
      <c r="N12" s="11"/>
      <c r="P12" s="28"/>
      <c r="Q12" s="11"/>
      <c r="S12" s="28"/>
      <c r="U12" s="122" t="str">
        <f t="shared" si="0"/>
        <v>2021Q4</v>
      </c>
    </row>
    <row r="13" spans="1:27" ht="18" customHeight="1" x14ac:dyDescent="0.4">
      <c r="B13" s="21"/>
      <c r="F13" s="120" t="str">
        <f t="shared" si="1"/>
        <v>2022Q1</v>
      </c>
      <c r="G13" s="116">
        <v>44651</v>
      </c>
      <c r="H13" s="121">
        <v>1.26489302069386</v>
      </c>
      <c r="N13" s="11"/>
      <c r="P13" s="28"/>
      <c r="Q13" s="11"/>
      <c r="S13" s="28"/>
      <c r="U13" s="122" t="str">
        <f t="shared" si="0"/>
        <v>2022Q1</v>
      </c>
    </row>
    <row r="14" spans="1:27" ht="18" customHeight="1" x14ac:dyDescent="0.4">
      <c r="B14" s="21"/>
      <c r="F14" s="120" t="str">
        <f t="shared" si="1"/>
        <v>2022Q2</v>
      </c>
      <c r="G14" s="116">
        <v>44742</v>
      </c>
      <c r="H14" s="121">
        <v>1.2782252846795099</v>
      </c>
      <c r="N14" s="11"/>
      <c r="P14" s="28"/>
      <c r="Q14" s="11"/>
      <c r="S14" s="28"/>
      <c r="U14" s="122" t="str">
        <f t="shared" si="0"/>
        <v>2022Q2</v>
      </c>
    </row>
    <row r="15" spans="1:27" ht="18" customHeight="1" x14ac:dyDescent="0.4">
      <c r="F15" s="120" t="str">
        <f t="shared" si="1"/>
        <v>2022Q3</v>
      </c>
      <c r="G15" s="116">
        <v>44834</v>
      </c>
      <c r="H15" s="121">
        <v>0.28114359967310598</v>
      </c>
      <c r="N15" s="11"/>
      <c r="P15" s="28"/>
      <c r="Q15" s="11"/>
      <c r="S15" s="28"/>
      <c r="U15" s="122" t="str">
        <f t="shared" si="0"/>
        <v>2022Q3</v>
      </c>
    </row>
    <row r="16" spans="1:27" ht="18" customHeight="1" x14ac:dyDescent="0.4">
      <c r="F16" s="120" t="str">
        <f t="shared" si="1"/>
        <v>2022Q4</v>
      </c>
      <c r="G16" s="116">
        <v>44926</v>
      </c>
      <c r="H16" s="121">
        <v>-1.6233205246628899</v>
      </c>
      <c r="N16" s="11"/>
      <c r="P16" s="28"/>
      <c r="Q16" s="11"/>
      <c r="S16" s="28"/>
      <c r="U16" s="122" t="str">
        <f t="shared" si="0"/>
        <v>2022Q4</v>
      </c>
    </row>
    <row r="17" spans="1:27" ht="18" customHeight="1" x14ac:dyDescent="0.4">
      <c r="F17" s="120" t="str">
        <f t="shared" si="1"/>
        <v>2023Q1</v>
      </c>
      <c r="G17" s="116">
        <v>45016</v>
      </c>
      <c r="H17" s="121">
        <v>0.609936477900197</v>
      </c>
      <c r="J17" s="121"/>
      <c r="K17" s="121"/>
      <c r="N17" s="11"/>
      <c r="P17" s="28"/>
      <c r="Q17" s="11"/>
      <c r="S17" s="28"/>
      <c r="U17" s="122" t="str">
        <f t="shared" si="0"/>
        <v>2023Q1</v>
      </c>
    </row>
    <row r="18" spans="1:27" ht="18" customHeight="1" x14ac:dyDescent="0.4">
      <c r="F18" s="120" t="str">
        <f t="shared" si="1"/>
        <v>2023Q2</v>
      </c>
      <c r="G18" s="116">
        <v>45107</v>
      </c>
      <c r="H18" s="121">
        <v>1.0249591505189899</v>
      </c>
      <c r="I18" s="107"/>
      <c r="J18" s="121">
        <f>H18</f>
        <v>1.0249591505189899</v>
      </c>
      <c r="K18" s="121"/>
      <c r="L18" s="107"/>
      <c r="N18" s="11"/>
      <c r="P18" s="28"/>
      <c r="Q18" s="11"/>
      <c r="S18" s="28"/>
      <c r="U18" s="122" t="str">
        <f t="shared" si="0"/>
        <v>2023Q2</v>
      </c>
    </row>
    <row r="19" spans="1:27" ht="18" customHeight="1" x14ac:dyDescent="0.4">
      <c r="F19" s="120" t="str">
        <f t="shared" si="1"/>
        <v>2023Q3</v>
      </c>
      <c r="G19" s="116">
        <v>45199</v>
      </c>
      <c r="H19" s="121"/>
      <c r="I19" s="107" cm="1">
        <f t="array" aca="1" ref="I19" ca="1">INDIRECT("'"&amp;$F19&amp;"'!B"&amp;MATCH(I$6,INDIRECT("'"&amp;$F19&amp;"'!"&amp;"A1:A1000"),0))</f>
        <v>0.72946351447434843</v>
      </c>
      <c r="J19" s="107" cm="1">
        <f t="array" aca="1" ref="J19" ca="1">INDIRECT("'"&amp;$F19&amp;"'!F"&amp;MATCH(I$6,INDIRECT("'"&amp;$F19&amp;"'!"&amp;"A1:A1000"),0))</f>
        <v>0.43832308507790929</v>
      </c>
      <c r="K19" s="107" cm="1">
        <f t="array" aca="1" ref="K19" ca="1">2*INDIRECT("'"&amp;$F19&amp;"'!E"&amp;MATCH(I$6,INDIRECT("'"&amp;$F19&amp;"'!"&amp;"A1:A1000"),0))</f>
        <v>0.58228085879287828</v>
      </c>
      <c r="L19" s="107" cm="1">
        <f t="array" aca="1" ref="L19" ca="1">INDIRECT("'"&amp;$F19&amp;"'!B"&amp;MATCH(L$6,INDIRECT("'"&amp;$F19&amp;"'!"&amp;"A1:A1000"),0))</f>
        <v>0.80642123224726514</v>
      </c>
      <c r="N19" s="11"/>
      <c r="O19" s="25" t="s">
        <v>100</v>
      </c>
      <c r="P19" s="28"/>
      <c r="Q19" s="11"/>
      <c r="R19" s="25" t="s">
        <v>100</v>
      </c>
      <c r="S19" s="28"/>
      <c r="U19" s="122" t="str">
        <f t="shared" si="0"/>
        <v>2023Q3</v>
      </c>
      <c r="V19" s="107">
        <f>VLOOKUP(V$2,Range!$A$2:$C$22,MATCH($U19,Range!$A$1:$C$1,0),FALSE)</f>
        <v>0.94593492232226339</v>
      </c>
      <c r="W19" s="107">
        <f>VLOOKUP(W$2,Range!$A$2:$C$22,MATCH($U19,Range!$A$1:$C$1,0),FALSE)</f>
        <v>0.92556395177594819</v>
      </c>
      <c r="X19" s="107">
        <f>VLOOKUP(X$2,Range!$A$2:$C$22,MATCH($U19,Range!$A$1:$C$1,0),FALSE)</f>
        <v>0.63942374820899262</v>
      </c>
      <c r="Y19" s="107">
        <f>VLOOKUP(Y$2,Range!$A$2:$C$22,MATCH($U19,Range!$A$1:$C$1,0),FALSE)</f>
        <v>0.92134737842481385</v>
      </c>
      <c r="Z19" s="107">
        <f>VLOOKUP(Z$2,Range!$A$2:$C$22,MATCH($U19,Range!$A$1:$C$1,0),FALSE)</f>
        <v>0.6817992691431648</v>
      </c>
      <c r="AA19" s="107">
        <f>VLOOKUP(AA$2,Range!$A$2:$C$22,MATCH($U19,Range!$A$1:$C$1,0),FALSE)</f>
        <v>-8.5098149328051764E-2</v>
      </c>
    </row>
    <row r="20" spans="1:27" s="14" customFormat="1" ht="18" customHeight="1" x14ac:dyDescent="0.45">
      <c r="A20" s="13"/>
      <c r="B20" s="13"/>
      <c r="C20" s="13"/>
      <c r="D20" s="13"/>
      <c r="E20" s="13"/>
      <c r="F20" s="120" t="str">
        <f t="shared" si="1"/>
        <v>2023Q4</v>
      </c>
      <c r="G20" s="116">
        <v>45291</v>
      </c>
      <c r="H20" s="121"/>
      <c r="I20" s="107" cm="1">
        <f t="array" aca="1" ref="I20" ca="1">INDIRECT("'"&amp;$F20&amp;"'!B"&amp;MATCH(I$6,INDIRECT("'"&amp;$F20&amp;"'!"&amp;"A1:A1000"),0))</f>
        <v>0.55540442232637477</v>
      </c>
      <c r="J20" s="107" cm="1">
        <f t="array" aca="1" ref="J20" ca="1">INDIRECT("'"&amp;$F20&amp;"'!F"&amp;MATCH(I$6,INDIRECT("'"&amp;$F20&amp;"'!"&amp;"A1:A1000"),0))</f>
        <v>0.21220727960665564</v>
      </c>
      <c r="K20" s="107" cm="1">
        <f t="array" aca="1" ref="K20" ca="1">2*INDIRECT("'"&amp;$F20&amp;"'!E"&amp;MATCH(I$6,INDIRECT("'"&amp;$F20&amp;"'!"&amp;"A1:A1000"),0))</f>
        <v>0.68639428543943826</v>
      </c>
      <c r="L20" s="107" cm="1">
        <f t="array" aca="1" ref="L20" ca="1">INDIRECT("'"&amp;$F20&amp;"'!B"&amp;MATCH(L$6,INDIRECT("'"&amp;$F20&amp;"'!"&amp;"A1:A1000"),0))</f>
        <v>0.82494411288715996</v>
      </c>
      <c r="N20" s="11"/>
      <c r="O20" s="48"/>
      <c r="P20" s="30"/>
      <c r="Q20" s="11"/>
      <c r="R20" s="48" t="s">
        <v>101</v>
      </c>
      <c r="S20" s="30"/>
      <c r="U20" s="122" t="str">
        <f t="shared" si="0"/>
        <v>2023Q4</v>
      </c>
      <c r="V20" s="107">
        <f>VLOOKUP(V$2,Range!$A$2:$C$22,MATCH($U20,Range!$A$1:$C$1,0),FALSE)</f>
        <v>1.1696700450167241E-3</v>
      </c>
      <c r="W20" s="107">
        <f>VLOOKUP(W$2,Range!$A$2:$C$22,MATCH($U20,Range!$A$1:$C$1,0),FALSE)</f>
        <v>0.32425794719983647</v>
      </c>
      <c r="X20" s="107">
        <f>VLOOKUP(X$2,Range!$A$2:$C$22,MATCH($U20,Range!$A$1:$C$1,0),FALSE)</f>
        <v>0.59807329952981025</v>
      </c>
      <c r="Y20" s="107">
        <f>VLOOKUP(Y$2,Range!$A$2:$C$22,MATCH($U20,Range!$A$1:$C$1,0),FALSE)</f>
        <v>-4.3240353800786113E-2</v>
      </c>
      <c r="Z20" s="107">
        <f>VLOOKUP(Z$2,Range!$A$2:$C$22,MATCH($U20,Range!$A$1:$C$1,0),FALSE)</f>
        <v>0.62939931376445468</v>
      </c>
      <c r="AA20" s="107">
        <f>VLOOKUP(AA$2,Range!$A$2:$C$22,MATCH($U20,Range!$A$1:$C$1,0),FALSE)</f>
        <v>0.39457613451002643</v>
      </c>
    </row>
    <row r="21" spans="1:27" ht="18" customHeight="1" x14ac:dyDescent="0.4">
      <c r="F21" s="120"/>
      <c r="G21" s="116"/>
      <c r="H21" s="121"/>
      <c r="I21" s="107"/>
      <c r="J21" s="107"/>
      <c r="K21" s="107"/>
      <c r="L21" s="107"/>
      <c r="N21" s="11"/>
      <c r="O21" s="11"/>
      <c r="P21" s="28"/>
      <c r="Q21" s="11"/>
      <c r="R21" s="11"/>
      <c r="S21" s="28"/>
      <c r="U21" s="122"/>
      <c r="V21" s="107"/>
      <c r="W21" s="107"/>
      <c r="X21" s="107"/>
      <c r="Y21" s="107"/>
      <c r="Z21" s="107"/>
      <c r="AA21" s="107"/>
    </row>
    <row r="22" spans="1:27" ht="18" customHeight="1" x14ac:dyDescent="0.4">
      <c r="N22" s="20"/>
      <c r="O22" s="51" t="s">
        <v>116</v>
      </c>
      <c r="P22" s="28"/>
      <c r="Q22" s="20"/>
      <c r="R22" s="51" t="s">
        <v>115</v>
      </c>
      <c r="S22" s="28"/>
    </row>
    <row r="23" spans="1:27" s="12" customFormat="1" ht="18" customHeight="1" x14ac:dyDescent="0.4">
      <c r="A23" s="10"/>
      <c r="B23" s="10"/>
      <c r="C23" s="10"/>
      <c r="D23" s="10"/>
      <c r="N23" s="11"/>
      <c r="O23" s="50" t="s">
        <v>12</v>
      </c>
      <c r="P23" s="29"/>
      <c r="Q23" s="11"/>
      <c r="R23" s="50" t="s">
        <v>12</v>
      </c>
      <c r="S23" s="29"/>
    </row>
    <row r="24" spans="1:27" ht="18" customHeight="1" x14ac:dyDescent="0.4">
      <c r="N24" s="11"/>
      <c r="O24" s="49" t="s">
        <v>13</v>
      </c>
      <c r="P24" s="28"/>
      <c r="Q24" s="11"/>
      <c r="R24" s="49" t="s">
        <v>13</v>
      </c>
      <c r="S24" s="28"/>
    </row>
    <row r="25" spans="1:27" ht="18" customHeight="1" x14ac:dyDescent="0.4">
      <c r="N25" s="11" t="s">
        <v>15</v>
      </c>
      <c r="P25" s="28"/>
      <c r="Q25" s="11"/>
      <c r="S25" s="28"/>
    </row>
    <row r="26" spans="1:27" ht="18" customHeight="1" x14ac:dyDescent="0.4">
      <c r="N26" s="11"/>
      <c r="P26" s="28"/>
      <c r="Q26" s="11"/>
      <c r="S26" s="28"/>
    </row>
    <row r="27" spans="1:27" ht="18" customHeight="1" x14ac:dyDescent="0.4">
      <c r="N27" s="11"/>
      <c r="P27" s="28"/>
      <c r="Q27" s="11"/>
      <c r="S27" s="28"/>
    </row>
    <row r="28" spans="1:27" ht="18" customHeight="1" x14ac:dyDescent="0.4">
      <c r="N28" s="11"/>
      <c r="P28" s="28"/>
      <c r="Q28" s="11"/>
      <c r="S28" s="28"/>
    </row>
    <row r="29" spans="1:27" ht="18" customHeight="1" x14ac:dyDescent="0.4">
      <c r="N29" s="11"/>
      <c r="P29" s="28"/>
      <c r="Q29" s="11"/>
      <c r="S29" s="28"/>
    </row>
    <row r="30" spans="1:27" ht="18" customHeight="1" x14ac:dyDescent="0.4">
      <c r="N30" s="11"/>
      <c r="P30" s="28"/>
      <c r="Q30" s="11"/>
      <c r="S30" s="28"/>
    </row>
    <row r="31" spans="1:27" ht="18" customHeight="1" x14ac:dyDescent="0.4">
      <c r="N31" s="11"/>
      <c r="P31" s="28"/>
      <c r="Q31" s="11"/>
      <c r="S31" s="28"/>
    </row>
    <row r="32" spans="1:27" ht="18" customHeight="1" x14ac:dyDescent="0.4">
      <c r="N32" s="11"/>
      <c r="P32" s="28"/>
      <c r="Q32" s="11"/>
      <c r="S32" s="28"/>
    </row>
    <row r="33" spans="1:19" ht="18" customHeight="1" x14ac:dyDescent="0.4">
      <c r="N33" s="11"/>
      <c r="P33" s="28"/>
      <c r="Q33" s="11"/>
      <c r="S33" s="28"/>
    </row>
    <row r="34" spans="1:19" ht="18" customHeight="1" x14ac:dyDescent="0.4">
      <c r="N34" s="11"/>
      <c r="P34" s="69"/>
      <c r="Q34" s="11"/>
      <c r="S34" s="28"/>
    </row>
    <row r="35" spans="1:19" ht="18" customHeight="1" x14ac:dyDescent="0.4">
      <c r="N35" s="11"/>
      <c r="P35" s="28"/>
      <c r="Q35" s="11"/>
      <c r="S35" s="28"/>
    </row>
    <row r="36" spans="1:19" ht="18" customHeight="1" x14ac:dyDescent="0.4">
      <c r="G36" s="116"/>
      <c r="H36" s="121"/>
      <c r="N36" s="11"/>
      <c r="P36" s="28"/>
      <c r="Q36" s="11"/>
      <c r="S36" s="28"/>
    </row>
    <row r="37" spans="1:19" ht="18" customHeight="1" x14ac:dyDescent="0.4">
      <c r="G37" s="116"/>
      <c r="H37" s="121"/>
      <c r="N37" s="11"/>
      <c r="P37" s="28"/>
      <c r="Q37" s="11"/>
      <c r="S37" s="28"/>
    </row>
    <row r="38" spans="1:19" ht="18" customHeight="1" x14ac:dyDescent="0.4">
      <c r="G38" s="116"/>
      <c r="H38" s="121"/>
      <c r="N38" s="11"/>
      <c r="P38" s="28"/>
      <c r="Q38" s="11"/>
      <c r="S38" s="28"/>
    </row>
    <row r="39" spans="1:19" ht="18" customHeight="1" x14ac:dyDescent="0.4">
      <c r="G39" s="116"/>
      <c r="H39" s="121"/>
      <c r="N39" s="11"/>
      <c r="P39" s="28"/>
      <c r="Q39" s="11"/>
      <c r="S39" s="28"/>
    </row>
    <row r="40" spans="1:19" ht="18" customHeight="1" x14ac:dyDescent="0.4">
      <c r="G40" s="116"/>
      <c r="H40" s="121"/>
      <c r="N40" s="11"/>
      <c r="O40" s="25" t="s">
        <v>100</v>
      </c>
      <c r="P40" s="28"/>
      <c r="Q40" s="11"/>
      <c r="R40" s="25" t="s">
        <v>100</v>
      </c>
      <c r="S40" s="28"/>
    </row>
    <row r="41" spans="1:19" s="14" customFormat="1" ht="18" customHeight="1" x14ac:dyDescent="0.45">
      <c r="A41" s="13"/>
      <c r="B41" s="13"/>
      <c r="C41" s="13"/>
      <c r="D41" s="13"/>
      <c r="E41" s="13"/>
      <c r="G41" s="116"/>
      <c r="H41" s="121"/>
      <c r="N41" s="11"/>
      <c r="O41" s="48" t="s">
        <v>102</v>
      </c>
      <c r="P41" s="30"/>
      <c r="Q41" s="11"/>
      <c r="R41" s="48" t="s">
        <v>101</v>
      </c>
      <c r="S41" s="30"/>
    </row>
    <row r="42" spans="1:19" ht="18" customHeight="1" x14ac:dyDescent="0.4">
      <c r="G42" s="116"/>
      <c r="H42" s="121"/>
      <c r="N42" s="11"/>
      <c r="O42" s="11"/>
      <c r="P42" s="28"/>
      <c r="Q42" s="11"/>
      <c r="R42" s="11"/>
      <c r="S42" s="28"/>
    </row>
    <row r="43" spans="1:19" x14ac:dyDescent="0.4">
      <c r="G43" s="116"/>
      <c r="H43" s="121"/>
      <c r="N43" s="9"/>
      <c r="Q43" s="9"/>
    </row>
    <row r="44" spans="1:19" x14ac:dyDescent="0.4">
      <c r="G44" s="116"/>
      <c r="H44" s="121"/>
      <c r="N44" s="9"/>
      <c r="Q44" s="9"/>
    </row>
    <row r="45" spans="1:19" x14ac:dyDescent="0.4">
      <c r="G45" s="116"/>
      <c r="H45" s="121"/>
      <c r="N45" s="9"/>
      <c r="Q45" s="9"/>
    </row>
    <row r="46" spans="1:19" x14ac:dyDescent="0.4">
      <c r="G46" s="116"/>
      <c r="H46" s="121"/>
      <c r="N46" s="9"/>
      <c r="Q46" s="9"/>
    </row>
    <row r="47" spans="1:19" x14ac:dyDescent="0.4">
      <c r="G47" s="116"/>
      <c r="H47" s="121"/>
      <c r="N47" s="9"/>
      <c r="Q47" s="9"/>
    </row>
    <row r="48" spans="1:19" x14ac:dyDescent="0.4">
      <c r="G48" s="116"/>
      <c r="H48" s="121"/>
      <c r="N48" s="9"/>
      <c r="Q48" s="9"/>
    </row>
    <row r="49" spans="7:17" x14ac:dyDescent="0.4">
      <c r="G49" s="116"/>
      <c r="H49" s="121"/>
      <c r="N49" s="9"/>
      <c r="Q49" s="9"/>
    </row>
    <row r="50" spans="7:17" x14ac:dyDescent="0.4">
      <c r="G50" s="116"/>
      <c r="H50" s="121"/>
      <c r="N50" s="9"/>
      <c r="Q50" s="9"/>
    </row>
    <row r="51" spans="7:17" x14ac:dyDescent="0.4">
      <c r="G51" s="116"/>
      <c r="H51" s="121"/>
      <c r="N51" s="9"/>
      <c r="Q51" s="9"/>
    </row>
    <row r="52" spans="7:17" x14ac:dyDescent="0.4">
      <c r="G52" s="116"/>
      <c r="H52" s="121"/>
      <c r="N52" s="9"/>
      <c r="Q52" s="9"/>
    </row>
    <row r="53" spans="7:17" x14ac:dyDescent="0.4">
      <c r="G53" s="116"/>
      <c r="H53" s="121"/>
      <c r="N53" s="9"/>
      <c r="Q53" s="9"/>
    </row>
    <row r="54" spans="7:17" x14ac:dyDescent="0.4">
      <c r="G54" s="116"/>
      <c r="H54" s="121"/>
      <c r="N54" s="9"/>
      <c r="Q54" s="9"/>
    </row>
    <row r="55" spans="7:17" x14ac:dyDescent="0.4">
      <c r="G55" s="116"/>
      <c r="H55" s="121"/>
      <c r="N55" s="9"/>
      <c r="Q55" s="9"/>
    </row>
    <row r="56" spans="7:17" x14ac:dyDescent="0.4">
      <c r="G56" s="116"/>
      <c r="H56" s="121"/>
      <c r="N56" s="9"/>
      <c r="Q56" s="9"/>
    </row>
    <row r="57" spans="7:17" x14ac:dyDescent="0.4">
      <c r="G57" s="116"/>
      <c r="H57" s="121"/>
      <c r="N57" s="9"/>
      <c r="Q57" s="9"/>
    </row>
    <row r="58" spans="7:17" x14ac:dyDescent="0.4">
      <c r="G58" s="116"/>
      <c r="H58" s="121"/>
      <c r="N58" s="9"/>
      <c r="Q58" s="9"/>
    </row>
    <row r="59" spans="7:17" x14ac:dyDescent="0.4">
      <c r="G59" s="116"/>
      <c r="H59" s="121"/>
      <c r="N59" s="9"/>
      <c r="Q59" s="9"/>
    </row>
    <row r="60" spans="7:17" x14ac:dyDescent="0.4">
      <c r="G60" s="116"/>
      <c r="H60" s="121"/>
      <c r="N60" s="9"/>
      <c r="Q60" s="9"/>
    </row>
    <row r="61" spans="7:17" x14ac:dyDescent="0.4">
      <c r="G61" s="116"/>
      <c r="H61" s="121"/>
      <c r="N61" s="9"/>
      <c r="Q61" s="9"/>
    </row>
    <row r="62" spans="7:17" x14ac:dyDescent="0.4">
      <c r="G62" s="116"/>
      <c r="H62" s="121"/>
      <c r="N62" s="9"/>
      <c r="Q62" s="9"/>
    </row>
    <row r="63" spans="7:17" x14ac:dyDescent="0.4">
      <c r="G63" s="116"/>
      <c r="H63" s="121"/>
    </row>
    <row r="64" spans="7:17" x14ac:dyDescent="0.4">
      <c r="G64" s="116"/>
      <c r="H64" s="121"/>
    </row>
    <row r="65" spans="7:8" x14ac:dyDescent="0.4">
      <c r="G65" s="116"/>
      <c r="H65" s="121"/>
    </row>
    <row r="66" spans="7:8" x14ac:dyDescent="0.4">
      <c r="G66" s="116"/>
      <c r="H66" s="121"/>
    </row>
    <row r="67" spans="7:8" x14ac:dyDescent="0.4">
      <c r="G67" s="116"/>
      <c r="H67" s="121"/>
    </row>
    <row r="68" spans="7:8" x14ac:dyDescent="0.4">
      <c r="G68" s="116"/>
      <c r="H68" s="121"/>
    </row>
    <row r="69" spans="7:8" x14ac:dyDescent="0.4">
      <c r="G69" s="116"/>
      <c r="H69" s="121"/>
    </row>
    <row r="70" spans="7:8" x14ac:dyDescent="0.4">
      <c r="G70" s="116"/>
      <c r="H70" s="121"/>
    </row>
    <row r="71" spans="7:8" x14ac:dyDescent="0.4">
      <c r="G71" s="116"/>
      <c r="H71" s="121"/>
    </row>
    <row r="72" spans="7:8" x14ac:dyDescent="0.4">
      <c r="G72" s="116"/>
      <c r="H72" s="121"/>
    </row>
    <row r="73" spans="7:8" x14ac:dyDescent="0.4">
      <c r="G73" s="116"/>
      <c r="H73" s="121"/>
    </row>
    <row r="74" spans="7:8" x14ac:dyDescent="0.4">
      <c r="G74" s="116"/>
      <c r="H74" s="121"/>
    </row>
    <row r="75" spans="7:8" x14ac:dyDescent="0.4">
      <c r="G75" s="116"/>
      <c r="H75" s="121"/>
    </row>
    <row r="76" spans="7:8" x14ac:dyDescent="0.4">
      <c r="G76" s="116"/>
      <c r="H76" s="121"/>
    </row>
    <row r="77" spans="7:8" x14ac:dyDescent="0.4">
      <c r="G77" s="116"/>
      <c r="H77" s="121"/>
    </row>
    <row r="78" spans="7:8" x14ac:dyDescent="0.4">
      <c r="G78" s="116"/>
      <c r="H78" s="121"/>
    </row>
    <row r="79" spans="7:8" x14ac:dyDescent="0.4">
      <c r="G79" s="116"/>
      <c r="H79" s="121"/>
    </row>
    <row r="80" spans="7:8" x14ac:dyDescent="0.4">
      <c r="G80" s="116"/>
      <c r="H80" s="121"/>
    </row>
    <row r="81" spans="7:8" x14ac:dyDescent="0.4">
      <c r="G81" s="116"/>
      <c r="H81" s="121"/>
    </row>
    <row r="82" spans="7:8" x14ac:dyDescent="0.4">
      <c r="G82" s="116"/>
      <c r="H82" s="121"/>
    </row>
    <row r="83" spans="7:8" x14ac:dyDescent="0.4">
      <c r="G83" s="116"/>
      <c r="H83" s="121"/>
    </row>
    <row r="84" spans="7:8" x14ac:dyDescent="0.4">
      <c r="G84" s="116"/>
      <c r="H84" s="121"/>
    </row>
    <row r="85" spans="7:8" x14ac:dyDescent="0.4">
      <c r="G85" s="116"/>
      <c r="H85" s="121"/>
    </row>
    <row r="86" spans="7:8" x14ac:dyDescent="0.4">
      <c r="G86" s="116"/>
      <c r="H86" s="121"/>
    </row>
    <row r="87" spans="7:8" x14ac:dyDescent="0.4">
      <c r="G87" s="116"/>
      <c r="H87" s="121"/>
    </row>
    <row r="88" spans="7:8" x14ac:dyDescent="0.4">
      <c r="G88" s="116"/>
      <c r="H88" s="121"/>
    </row>
    <row r="89" spans="7:8" x14ac:dyDescent="0.4">
      <c r="G89" s="116"/>
      <c r="H89" s="121"/>
    </row>
    <row r="90" spans="7:8" x14ac:dyDescent="0.4">
      <c r="G90" s="116"/>
      <c r="H90" s="121"/>
    </row>
    <row r="91" spans="7:8" x14ac:dyDescent="0.4">
      <c r="G91" s="116"/>
      <c r="H91" s="121"/>
    </row>
    <row r="92" spans="7:8" x14ac:dyDescent="0.4">
      <c r="G92" s="116"/>
      <c r="H92" s="121"/>
    </row>
    <row r="93" spans="7:8" x14ac:dyDescent="0.4">
      <c r="G93" s="116"/>
      <c r="H93" s="121"/>
    </row>
    <row r="94" spans="7:8" x14ac:dyDescent="0.4">
      <c r="G94" s="116"/>
      <c r="H94" s="121"/>
    </row>
    <row r="95" spans="7:8" x14ac:dyDescent="0.4">
      <c r="G95" s="116"/>
      <c r="H95" s="121"/>
    </row>
    <row r="96" spans="7:8" x14ac:dyDescent="0.4">
      <c r="G96" s="116"/>
      <c r="H96" s="121"/>
    </row>
    <row r="97" spans="7:8" x14ac:dyDescent="0.4">
      <c r="G97" s="116"/>
      <c r="H97" s="121"/>
    </row>
    <row r="98" spans="7:8" x14ac:dyDescent="0.4">
      <c r="G98" s="116"/>
      <c r="H98" s="121"/>
    </row>
    <row r="99" spans="7:8" x14ac:dyDescent="0.4">
      <c r="G99" s="116"/>
      <c r="H99" s="121"/>
    </row>
    <row r="100" spans="7:8" x14ac:dyDescent="0.4">
      <c r="G100" s="116"/>
      <c r="H100" s="121"/>
    </row>
    <row r="101" spans="7:8" x14ac:dyDescent="0.4">
      <c r="G101" s="116"/>
      <c r="H101" s="121"/>
    </row>
    <row r="102" spans="7:8" x14ac:dyDescent="0.4">
      <c r="G102" s="116"/>
      <c r="H102" s="121"/>
    </row>
    <row r="103" spans="7:8" x14ac:dyDescent="0.4">
      <c r="G103" s="116"/>
      <c r="H103" s="121"/>
    </row>
    <row r="104" spans="7:8" x14ac:dyDescent="0.4">
      <c r="G104" s="116"/>
      <c r="H104" s="121"/>
    </row>
    <row r="105" spans="7:8" x14ac:dyDescent="0.4">
      <c r="G105" s="116"/>
      <c r="H105" s="121"/>
    </row>
    <row r="106" spans="7:8" x14ac:dyDescent="0.4">
      <c r="G106" s="116"/>
      <c r="H106" s="121"/>
    </row>
    <row r="107" spans="7:8" x14ac:dyDescent="0.4">
      <c r="G107" s="116"/>
      <c r="H107" s="121"/>
    </row>
    <row r="108" spans="7:8" x14ac:dyDescent="0.4">
      <c r="G108" s="116"/>
      <c r="H108" s="121"/>
    </row>
    <row r="109" spans="7:8" x14ac:dyDescent="0.4">
      <c r="G109" s="116"/>
      <c r="H109" s="121"/>
    </row>
    <row r="110" spans="7:8" x14ac:dyDescent="0.4">
      <c r="G110" s="116"/>
      <c r="H110" s="121"/>
    </row>
    <row r="111" spans="7:8" x14ac:dyDescent="0.4">
      <c r="G111" s="116"/>
      <c r="H111" s="121"/>
    </row>
    <row r="112" spans="7:8" x14ac:dyDescent="0.4">
      <c r="G112" s="116"/>
      <c r="H112" s="121"/>
    </row>
    <row r="113" spans="7:8" x14ac:dyDescent="0.4">
      <c r="G113" s="116"/>
      <c r="H113" s="121"/>
    </row>
    <row r="114" spans="7:8" x14ac:dyDescent="0.4">
      <c r="G114" s="116"/>
      <c r="H114" s="121"/>
    </row>
    <row r="115" spans="7:8" x14ac:dyDescent="0.4">
      <c r="G115" s="116"/>
      <c r="H115" s="121"/>
    </row>
    <row r="116" spans="7:8" x14ac:dyDescent="0.4">
      <c r="G116" s="116"/>
      <c r="H116" s="121"/>
    </row>
    <row r="117" spans="7:8" x14ac:dyDescent="0.4">
      <c r="G117" s="116"/>
      <c r="H117" s="121"/>
    </row>
    <row r="118" spans="7:8" x14ac:dyDescent="0.4">
      <c r="G118" s="116"/>
      <c r="H118" s="121"/>
    </row>
    <row r="119" spans="7:8" x14ac:dyDescent="0.4">
      <c r="G119" s="116"/>
      <c r="H119" s="121"/>
    </row>
    <row r="120" spans="7:8" x14ac:dyDescent="0.4">
      <c r="G120" s="116"/>
      <c r="H120" s="121"/>
    </row>
    <row r="121" spans="7:8" x14ac:dyDescent="0.4">
      <c r="G121" s="116"/>
      <c r="H121" s="121"/>
    </row>
    <row r="122" spans="7:8" x14ac:dyDescent="0.4">
      <c r="G122" s="116"/>
      <c r="H122" s="121"/>
    </row>
    <row r="123" spans="7:8" x14ac:dyDescent="0.4">
      <c r="G123" s="116"/>
      <c r="H123" s="121"/>
    </row>
    <row r="124" spans="7:8" x14ac:dyDescent="0.4">
      <c r="G124" s="116"/>
      <c r="H124" s="121"/>
    </row>
    <row r="125" spans="7:8" x14ac:dyDescent="0.4">
      <c r="G125" s="116"/>
      <c r="H125" s="121"/>
    </row>
    <row r="126" spans="7:8" x14ac:dyDescent="0.4">
      <c r="G126" s="116"/>
      <c r="H126" s="121"/>
    </row>
    <row r="127" spans="7:8" x14ac:dyDescent="0.4">
      <c r="G127" s="116"/>
      <c r="H127" s="121"/>
    </row>
    <row r="128" spans="7:8" x14ac:dyDescent="0.4">
      <c r="G128" s="116"/>
      <c r="H128" s="121"/>
    </row>
    <row r="129" spans="7:8" x14ac:dyDescent="0.4">
      <c r="G129" s="116"/>
      <c r="H129" s="121"/>
    </row>
    <row r="130" spans="7:8" x14ac:dyDescent="0.4">
      <c r="G130" s="116"/>
      <c r="H130" s="121"/>
    </row>
    <row r="131" spans="7:8" x14ac:dyDescent="0.4">
      <c r="G131" s="116"/>
      <c r="H131" s="121"/>
    </row>
    <row r="132" spans="7:8" x14ac:dyDescent="0.4">
      <c r="G132" s="116"/>
      <c r="H132" s="121"/>
    </row>
    <row r="133" spans="7:8" x14ac:dyDescent="0.4">
      <c r="G133" s="116"/>
      <c r="H133" s="121"/>
    </row>
    <row r="134" spans="7:8" x14ac:dyDescent="0.4">
      <c r="G134" s="116"/>
      <c r="H134" s="121"/>
    </row>
    <row r="135" spans="7:8" x14ac:dyDescent="0.4">
      <c r="G135" s="116"/>
      <c r="H135" s="121"/>
    </row>
    <row r="136" spans="7:8" x14ac:dyDescent="0.4">
      <c r="G136" s="116"/>
      <c r="H136" s="121"/>
    </row>
    <row r="137" spans="7:8" x14ac:dyDescent="0.4">
      <c r="G137" s="116"/>
      <c r="H137" s="121"/>
    </row>
    <row r="138" spans="7:8" x14ac:dyDescent="0.4">
      <c r="G138" s="116"/>
      <c r="H138" s="121"/>
    </row>
    <row r="139" spans="7:8" x14ac:dyDescent="0.4">
      <c r="G139" s="116"/>
      <c r="H139" s="121"/>
    </row>
    <row r="140" spans="7:8" x14ac:dyDescent="0.4">
      <c r="G140" s="116"/>
      <c r="H140" s="121"/>
    </row>
    <row r="141" spans="7:8" x14ac:dyDescent="0.4">
      <c r="G141" s="116"/>
      <c r="H141" s="121"/>
    </row>
    <row r="142" spans="7:8" x14ac:dyDescent="0.4">
      <c r="G142" s="116"/>
      <c r="H142" s="121"/>
    </row>
    <row r="143" spans="7:8" x14ac:dyDescent="0.4">
      <c r="G143" s="116"/>
      <c r="H143" s="121"/>
    </row>
    <row r="144" spans="7:8" x14ac:dyDescent="0.4">
      <c r="G144" s="116"/>
      <c r="H144" s="121"/>
    </row>
    <row r="145" spans="7:8" x14ac:dyDescent="0.4">
      <c r="G145" s="116"/>
      <c r="H145" s="121"/>
    </row>
    <row r="146" spans="7:8" x14ac:dyDescent="0.4">
      <c r="G146" s="116"/>
      <c r="H146" s="121"/>
    </row>
    <row r="147" spans="7:8" x14ac:dyDescent="0.4">
      <c r="G147" s="116"/>
      <c r="H147" s="121"/>
    </row>
    <row r="148" spans="7:8" x14ac:dyDescent="0.4">
      <c r="G148" s="116"/>
      <c r="H148" s="121"/>
    </row>
    <row r="149" spans="7:8" x14ac:dyDescent="0.4">
      <c r="G149" s="116"/>
      <c r="H149" s="121"/>
    </row>
    <row r="150" spans="7:8" x14ac:dyDescent="0.4">
      <c r="G150" s="116"/>
      <c r="H150" s="121"/>
    </row>
    <row r="151" spans="7:8" x14ac:dyDescent="0.4">
      <c r="G151" s="116"/>
      <c r="H151" s="121"/>
    </row>
    <row r="152" spans="7:8" x14ac:dyDescent="0.4">
      <c r="G152" s="116"/>
      <c r="H152" s="121"/>
    </row>
    <row r="153" spans="7:8" x14ac:dyDescent="0.4">
      <c r="G153" s="116"/>
      <c r="H153" s="121"/>
    </row>
    <row r="154" spans="7:8" x14ac:dyDescent="0.4">
      <c r="G154" s="116"/>
      <c r="H154" s="121"/>
    </row>
    <row r="155" spans="7:8" x14ac:dyDescent="0.4">
      <c r="G155" s="116"/>
      <c r="H155" s="121"/>
    </row>
    <row r="156" spans="7:8" x14ac:dyDescent="0.4">
      <c r="G156" s="116"/>
      <c r="H156" s="121"/>
    </row>
    <row r="157" spans="7:8" x14ac:dyDescent="0.4">
      <c r="G157" s="116"/>
      <c r="H157" s="121"/>
    </row>
    <row r="158" spans="7:8" x14ac:dyDescent="0.4">
      <c r="G158" s="116"/>
      <c r="H158" s="121"/>
    </row>
    <row r="159" spans="7:8" x14ac:dyDescent="0.4">
      <c r="G159" s="116"/>
      <c r="H159" s="121"/>
    </row>
    <row r="160" spans="7:8" x14ac:dyDescent="0.4">
      <c r="G160" s="116"/>
      <c r="H160" s="121"/>
    </row>
    <row r="161" spans="7:8" x14ac:dyDescent="0.4">
      <c r="G161" s="116"/>
      <c r="H161" s="121"/>
    </row>
    <row r="162" spans="7:8" x14ac:dyDescent="0.4">
      <c r="G162" s="116"/>
      <c r="H162" s="121"/>
    </row>
    <row r="163" spans="7:8" x14ac:dyDescent="0.4">
      <c r="G163" s="116"/>
      <c r="H163" s="121"/>
    </row>
    <row r="164" spans="7:8" x14ac:dyDescent="0.4">
      <c r="G164" s="116"/>
      <c r="H164" s="121"/>
    </row>
    <row r="165" spans="7:8" x14ac:dyDescent="0.4">
      <c r="G165" s="116"/>
      <c r="H165" s="121"/>
    </row>
    <row r="166" spans="7:8" x14ac:dyDescent="0.4">
      <c r="G166" s="116"/>
      <c r="H166" s="121"/>
    </row>
    <row r="167" spans="7:8" x14ac:dyDescent="0.4">
      <c r="G167" s="116"/>
      <c r="H167" s="121"/>
    </row>
    <row r="168" spans="7:8" x14ac:dyDescent="0.4">
      <c r="G168" s="116"/>
      <c r="H168" s="121"/>
    </row>
    <row r="169" spans="7:8" x14ac:dyDescent="0.4">
      <c r="G169" s="116"/>
      <c r="H169" s="121"/>
    </row>
    <row r="170" spans="7:8" x14ac:dyDescent="0.4">
      <c r="G170" s="116"/>
      <c r="H170" s="121"/>
    </row>
    <row r="171" spans="7:8" x14ac:dyDescent="0.4">
      <c r="G171" s="116"/>
      <c r="H171" s="121"/>
    </row>
    <row r="172" spans="7:8" x14ac:dyDescent="0.4">
      <c r="G172" s="116"/>
      <c r="H172" s="121"/>
    </row>
    <row r="173" spans="7:8" x14ac:dyDescent="0.4">
      <c r="G173" s="116"/>
      <c r="H173" s="121"/>
    </row>
    <row r="174" spans="7:8" x14ac:dyDescent="0.4">
      <c r="G174" s="116"/>
      <c r="H174" s="121"/>
    </row>
    <row r="175" spans="7:8" x14ac:dyDescent="0.4">
      <c r="G175" s="116"/>
      <c r="H175" s="121"/>
    </row>
    <row r="176" spans="7:8" x14ac:dyDescent="0.4">
      <c r="G176" s="116"/>
      <c r="H176" s="121"/>
    </row>
    <row r="177" spans="7:8" x14ac:dyDescent="0.4">
      <c r="G177" s="116"/>
      <c r="H177" s="121"/>
    </row>
    <row r="178" spans="7:8" x14ac:dyDescent="0.4">
      <c r="G178" s="116"/>
      <c r="H178" s="121"/>
    </row>
    <row r="179" spans="7:8" x14ac:dyDescent="0.4">
      <c r="G179" s="116"/>
      <c r="H179" s="121"/>
    </row>
    <row r="180" spans="7:8" x14ac:dyDescent="0.4">
      <c r="G180" s="116"/>
      <c r="H180" s="121"/>
    </row>
    <row r="181" spans="7:8" x14ac:dyDescent="0.4">
      <c r="G181" s="116"/>
      <c r="H181" s="121"/>
    </row>
    <row r="182" spans="7:8" x14ac:dyDescent="0.4">
      <c r="G182" s="116"/>
      <c r="H182" s="121"/>
    </row>
    <row r="183" spans="7:8" x14ac:dyDescent="0.4">
      <c r="G183" s="116"/>
      <c r="H183" s="121"/>
    </row>
    <row r="184" spans="7:8" x14ac:dyDescent="0.4">
      <c r="G184" s="116"/>
      <c r="H184" s="121"/>
    </row>
    <row r="185" spans="7:8" x14ac:dyDescent="0.4">
      <c r="G185" s="116"/>
      <c r="H185" s="121"/>
    </row>
    <row r="186" spans="7:8" x14ac:dyDescent="0.4">
      <c r="G186" s="116"/>
      <c r="H186" s="121"/>
    </row>
    <row r="187" spans="7:8" x14ac:dyDescent="0.4">
      <c r="G187" s="116"/>
      <c r="H187" s="121"/>
    </row>
    <row r="188" spans="7:8" x14ac:dyDescent="0.4">
      <c r="G188" s="116"/>
      <c r="H188" s="121"/>
    </row>
    <row r="189" spans="7:8" x14ac:dyDescent="0.4">
      <c r="G189" s="116"/>
      <c r="H189" s="121"/>
    </row>
    <row r="190" spans="7:8" x14ac:dyDescent="0.4">
      <c r="G190" s="116"/>
      <c r="H190" s="121"/>
    </row>
    <row r="191" spans="7:8" x14ac:dyDescent="0.4">
      <c r="G191" s="116"/>
      <c r="H191" s="121"/>
    </row>
    <row r="192" spans="7:8" x14ac:dyDescent="0.4">
      <c r="G192" s="116"/>
      <c r="H192" s="121"/>
    </row>
    <row r="193" spans="7:8" x14ac:dyDescent="0.4">
      <c r="G193" s="116"/>
      <c r="H193" s="121"/>
    </row>
    <row r="194" spans="7:8" x14ac:dyDescent="0.4">
      <c r="G194" s="116"/>
      <c r="H194" s="121"/>
    </row>
    <row r="195" spans="7:8" x14ac:dyDescent="0.4">
      <c r="G195" s="116"/>
      <c r="H195" s="121"/>
    </row>
    <row r="196" spans="7:8" x14ac:dyDescent="0.4">
      <c r="G196" s="116"/>
      <c r="H196" s="121"/>
    </row>
    <row r="197" spans="7:8" x14ac:dyDescent="0.4">
      <c r="G197" s="116"/>
      <c r="H197" s="121"/>
    </row>
    <row r="198" spans="7:8" x14ac:dyDescent="0.4">
      <c r="G198" s="116"/>
      <c r="H198" s="121"/>
    </row>
    <row r="199" spans="7:8" x14ac:dyDescent="0.4">
      <c r="G199" s="116"/>
      <c r="H199" s="121"/>
    </row>
    <row r="200" spans="7:8" x14ac:dyDescent="0.4">
      <c r="G200" s="116"/>
      <c r="H200" s="121"/>
    </row>
    <row r="201" spans="7:8" x14ac:dyDescent="0.4">
      <c r="G201" s="116"/>
      <c r="H201" s="121"/>
    </row>
    <row r="202" spans="7:8" x14ac:dyDescent="0.4">
      <c r="G202" s="116"/>
      <c r="H202" s="121"/>
    </row>
    <row r="203" spans="7:8" x14ac:dyDescent="0.4">
      <c r="G203" s="116"/>
      <c r="H203" s="121"/>
    </row>
    <row r="204" spans="7:8" x14ac:dyDescent="0.4">
      <c r="G204" s="116"/>
      <c r="H204" s="121"/>
    </row>
    <row r="205" spans="7:8" x14ac:dyDescent="0.4">
      <c r="G205" s="116"/>
      <c r="H205" s="121"/>
    </row>
    <row r="206" spans="7:8" x14ac:dyDescent="0.4">
      <c r="G206" s="116"/>
      <c r="H206" s="121"/>
    </row>
    <row r="207" spans="7:8" x14ac:dyDescent="0.4">
      <c r="G207" s="116"/>
      <c r="H207" s="121"/>
    </row>
    <row r="208" spans="7:8" x14ac:dyDescent="0.4">
      <c r="G208" s="116"/>
      <c r="H208" s="121"/>
    </row>
    <row r="209" spans="7:8" x14ac:dyDescent="0.4">
      <c r="G209" s="116"/>
      <c r="H209" s="121"/>
    </row>
    <row r="210" spans="7:8" x14ac:dyDescent="0.4">
      <c r="G210" s="116"/>
      <c r="H210" s="121"/>
    </row>
    <row r="211" spans="7:8" x14ac:dyDescent="0.4">
      <c r="G211" s="116"/>
      <c r="H211" s="121"/>
    </row>
    <row r="212" spans="7:8" x14ac:dyDescent="0.4">
      <c r="G212" s="116"/>
      <c r="H212" s="121"/>
    </row>
    <row r="213" spans="7:8" x14ac:dyDescent="0.4">
      <c r="G213" s="116"/>
      <c r="H213" s="121"/>
    </row>
    <row r="214" spans="7:8" x14ac:dyDescent="0.4">
      <c r="G214" s="116"/>
      <c r="H214" s="121"/>
    </row>
    <row r="215" spans="7:8" x14ac:dyDescent="0.4">
      <c r="G215" s="116"/>
      <c r="H215" s="121"/>
    </row>
    <row r="216" spans="7:8" x14ac:dyDescent="0.4">
      <c r="G216" s="116"/>
      <c r="H216" s="121"/>
    </row>
    <row r="217" spans="7:8" x14ac:dyDescent="0.4">
      <c r="G217" s="116"/>
      <c r="H217" s="121"/>
    </row>
    <row r="218" spans="7:8" x14ac:dyDescent="0.4">
      <c r="G218" s="116"/>
      <c r="H218" s="121"/>
    </row>
    <row r="219" spans="7:8" x14ac:dyDescent="0.4">
      <c r="G219" s="116"/>
      <c r="H219" s="121"/>
    </row>
    <row r="220" spans="7:8" x14ac:dyDescent="0.4">
      <c r="G220" s="116"/>
      <c r="H220" s="121"/>
    </row>
    <row r="221" spans="7:8" x14ac:dyDescent="0.4">
      <c r="G221" s="113"/>
    </row>
    <row r="222" spans="7:8" x14ac:dyDescent="0.4">
      <c r="G222" s="113"/>
    </row>
    <row r="223" spans="7:8" x14ac:dyDescent="0.4">
      <c r="G223" s="113"/>
    </row>
    <row r="224" spans="7:8" x14ac:dyDescent="0.4">
      <c r="G224" s="113"/>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0366A-6E05-4057-91C3-0BE1B325D7D4}">
  <dimension ref="A1:AI70"/>
  <sheetViews>
    <sheetView showGridLines="0" tabSelected="1" zoomScale="55" zoomScaleNormal="55" workbookViewId="0">
      <selection activeCell="C20" sqref="C20:T23"/>
    </sheetView>
  </sheetViews>
  <sheetFormatPr defaultRowHeight="14.6" x14ac:dyDescent="0.4"/>
  <cols>
    <col min="2" max="2" width="10.69140625" bestFit="1" customWidth="1"/>
    <col min="3" max="20" width="11.53515625" customWidth="1"/>
    <col min="21" max="21" width="9.15234375"/>
    <col min="22" max="22" width="18.15234375" bestFit="1" customWidth="1"/>
    <col min="23" max="23" width="75.23046875" bestFit="1" customWidth="1"/>
  </cols>
  <sheetData>
    <row r="1" spans="1:32" ht="25" customHeight="1" x14ac:dyDescent="0.4">
      <c r="V1" s="41"/>
      <c r="W1" s="41"/>
      <c r="X1" s="132" t="s">
        <v>17</v>
      </c>
      <c r="Y1" s="133"/>
      <c r="Z1" s="134"/>
      <c r="AA1" s="132" t="s">
        <v>30</v>
      </c>
      <c r="AB1" s="133"/>
      <c r="AC1" s="134"/>
      <c r="AD1" s="132" t="s">
        <v>33</v>
      </c>
      <c r="AE1" s="133"/>
      <c r="AF1" s="134"/>
    </row>
    <row r="2" spans="1:32" ht="25" customHeight="1" x14ac:dyDescent="0.4">
      <c r="B2" s="26"/>
      <c r="C2" s="26">
        <v>44757</v>
      </c>
      <c r="D2" s="26">
        <v>44788</v>
      </c>
      <c r="E2" s="26">
        <v>44819</v>
      </c>
      <c r="F2" s="26">
        <v>44849</v>
      </c>
      <c r="G2" s="26">
        <v>44880</v>
      </c>
      <c r="H2" s="26">
        <v>44910</v>
      </c>
      <c r="I2" s="26">
        <v>44941</v>
      </c>
      <c r="J2" s="26">
        <v>44972</v>
      </c>
      <c r="K2" s="26">
        <v>45000</v>
      </c>
      <c r="L2" s="26">
        <v>45031</v>
      </c>
      <c r="M2" s="26">
        <v>45061</v>
      </c>
      <c r="N2" s="26">
        <v>45092</v>
      </c>
      <c r="O2" s="26">
        <v>45122</v>
      </c>
      <c r="P2" s="26">
        <v>45153</v>
      </c>
      <c r="Q2" s="26">
        <v>45184</v>
      </c>
      <c r="R2" s="26">
        <v>45214</v>
      </c>
      <c r="S2" s="26">
        <v>45245</v>
      </c>
      <c r="T2" s="26">
        <v>45275</v>
      </c>
      <c r="V2" s="42"/>
      <c r="W2" s="42"/>
      <c r="X2" s="36">
        <f t="shared" ref="X2:X15" si="0">L2</f>
        <v>45031</v>
      </c>
      <c r="Y2" s="37">
        <f t="shared" ref="Y2:Y15" si="1">M2</f>
        <v>45061</v>
      </c>
      <c r="Z2" s="38">
        <f t="shared" ref="Z2:Z15" si="2">N2</f>
        <v>45092</v>
      </c>
      <c r="AA2" s="37">
        <f t="shared" ref="AA2:AA15" si="3">O2</f>
        <v>45122</v>
      </c>
      <c r="AB2" s="37">
        <f t="shared" ref="AB2:AB15" si="4">P2</f>
        <v>45153</v>
      </c>
      <c r="AC2" s="37">
        <f t="shared" ref="AC2:AC15" si="5">Q2</f>
        <v>45184</v>
      </c>
      <c r="AD2" s="36">
        <f t="shared" ref="AD2:AD15" si="6">R2</f>
        <v>45214</v>
      </c>
      <c r="AE2" s="37">
        <f t="shared" ref="AE2:AE15" si="7">S2</f>
        <v>45245</v>
      </c>
      <c r="AF2" s="38">
        <f>T2</f>
        <v>45275</v>
      </c>
    </row>
    <row r="3" spans="1:32" ht="25" customHeight="1" x14ac:dyDescent="0.4">
      <c r="A3" t="s">
        <v>58</v>
      </c>
      <c r="B3" t="s">
        <v>81</v>
      </c>
      <c r="C3">
        <v>-0.2956479611200114</v>
      </c>
      <c r="D3">
        <v>-8.2732809842618729E-2</v>
      </c>
      <c r="E3">
        <v>4.5817769161110349E-2</v>
      </c>
      <c r="F3">
        <v>0.36879923399466497</v>
      </c>
      <c r="G3">
        <v>0.41470910479698547</v>
      </c>
      <c r="H3">
        <v>0.3153491154224064</v>
      </c>
      <c r="I3">
        <v>0.16814683207083109</v>
      </c>
      <c r="J3">
        <v>0.10498399833624085</v>
      </c>
      <c r="K3">
        <v>0.30494333794963341</v>
      </c>
      <c r="L3">
        <v>0.24764031122434788</v>
      </c>
      <c r="M3">
        <v>0.20089817766198714</v>
      </c>
      <c r="N3">
        <v>0.10555131850462438</v>
      </c>
      <c r="O3">
        <v>6.6648796247956235E-2</v>
      </c>
      <c r="P3" t="s">
        <v>31</v>
      </c>
      <c r="Q3" t="s">
        <v>31</v>
      </c>
      <c r="R3" t="s">
        <v>31</v>
      </c>
      <c r="S3" t="s">
        <v>31</v>
      </c>
      <c r="T3" t="s">
        <v>31</v>
      </c>
      <c r="V3" s="135" t="str">
        <f>A3</f>
        <v>Group 1</v>
      </c>
      <c r="W3" s="43" t="str">
        <f>B3</f>
        <v>Full name 9</v>
      </c>
      <c r="X3" s="33">
        <f t="shared" si="0"/>
        <v>0.24764031122434788</v>
      </c>
      <c r="Y3" s="34">
        <f t="shared" si="1"/>
        <v>0.20089817766198714</v>
      </c>
      <c r="Z3" s="35">
        <f t="shared" si="2"/>
        <v>0.10555131850462438</v>
      </c>
      <c r="AA3" s="33">
        <f t="shared" si="3"/>
        <v>6.6648796247956235E-2</v>
      </c>
      <c r="AB3" s="34" t="str">
        <f t="shared" si="4"/>
        <v>NaN</v>
      </c>
      <c r="AC3" s="35" t="str">
        <f t="shared" si="5"/>
        <v>NaN</v>
      </c>
      <c r="AD3" s="33" t="str">
        <f t="shared" si="6"/>
        <v>NaN</v>
      </c>
      <c r="AE3" s="34" t="str">
        <f t="shared" si="7"/>
        <v>NaN</v>
      </c>
      <c r="AF3" s="35" t="str">
        <f t="shared" ref="AF3:AF15" si="8">T3</f>
        <v>NaN</v>
      </c>
    </row>
    <row r="4" spans="1:32" ht="25" customHeight="1" x14ac:dyDescent="0.4">
      <c r="A4" t="s">
        <v>58</v>
      </c>
      <c r="B4" t="s">
        <v>169</v>
      </c>
      <c r="C4">
        <v>-0.60346473725360561</v>
      </c>
      <c r="D4">
        <v>-0.46329456860213469</v>
      </c>
      <c r="E4">
        <v>-0.42842335132997228</v>
      </c>
      <c r="F4">
        <v>-3.4234610614427723E-2</v>
      </c>
      <c r="G4">
        <v>-6.9355206134242217E-2</v>
      </c>
      <c r="H4">
        <v>-8.2238756398242005E-2</v>
      </c>
      <c r="I4">
        <v>-0.21875071110343119</v>
      </c>
      <c r="J4">
        <v>-0.14485883730135285</v>
      </c>
      <c r="K4">
        <v>-3.0592123721224246E-2</v>
      </c>
      <c r="L4">
        <v>5.9255343123666468E-2</v>
      </c>
      <c r="M4">
        <v>0.17247068043572539</v>
      </c>
      <c r="N4">
        <v>0.18533136854844431</v>
      </c>
      <c r="O4">
        <v>0.265944083436081</v>
      </c>
      <c r="P4">
        <v>-0.11599815004340863</v>
      </c>
      <c r="Q4" t="s">
        <v>31</v>
      </c>
      <c r="R4" t="s">
        <v>31</v>
      </c>
      <c r="S4" t="s">
        <v>31</v>
      </c>
      <c r="T4" t="s">
        <v>31</v>
      </c>
      <c r="V4" s="135"/>
      <c r="W4" s="43" t="str">
        <f t="shared" ref="W4:W15" si="9">B4</f>
        <v>Full name 10</v>
      </c>
      <c r="X4" s="31">
        <f t="shared" si="0"/>
        <v>5.9255343123666468E-2</v>
      </c>
      <c r="Y4" s="39">
        <f t="shared" si="1"/>
        <v>0.17247068043572539</v>
      </c>
      <c r="Z4" s="32">
        <f t="shared" si="2"/>
        <v>0.18533136854844431</v>
      </c>
      <c r="AA4" s="31">
        <f t="shared" si="3"/>
        <v>0.265944083436081</v>
      </c>
      <c r="AB4" s="39">
        <f t="shared" si="4"/>
        <v>-0.11599815004340863</v>
      </c>
      <c r="AC4" s="32" t="str">
        <f t="shared" si="5"/>
        <v>NaN</v>
      </c>
      <c r="AD4" s="31" t="str">
        <f t="shared" si="6"/>
        <v>NaN</v>
      </c>
      <c r="AE4" s="39" t="str">
        <f t="shared" si="7"/>
        <v>NaN</v>
      </c>
      <c r="AF4" s="32" t="str">
        <f t="shared" si="8"/>
        <v>NaN</v>
      </c>
    </row>
    <row r="5" spans="1:32" ht="25" customHeight="1" x14ac:dyDescent="0.4">
      <c r="A5" t="s">
        <v>58</v>
      </c>
      <c r="B5" t="s">
        <v>78</v>
      </c>
      <c r="C5">
        <v>-0.41928636444622636</v>
      </c>
      <c r="D5">
        <v>-0.44211169159561881</v>
      </c>
      <c r="E5">
        <v>-0.38671344699134425</v>
      </c>
      <c r="F5">
        <v>-0.35827293347245098</v>
      </c>
      <c r="G5">
        <v>-0.45000346558479704</v>
      </c>
      <c r="H5">
        <v>-0.54480393236847824</v>
      </c>
      <c r="I5">
        <v>-0.68326622393584391</v>
      </c>
      <c r="J5">
        <v>-0.34993887505765742</v>
      </c>
      <c r="K5">
        <v>-9.0312260797235394E-2</v>
      </c>
      <c r="L5">
        <v>0.25249078485831195</v>
      </c>
      <c r="M5">
        <v>0.1665708049082551</v>
      </c>
      <c r="N5">
        <v>0.13507080862831297</v>
      </c>
      <c r="O5">
        <v>8.4185751380508073E-2</v>
      </c>
      <c r="P5" t="s">
        <v>31</v>
      </c>
      <c r="Q5" t="s">
        <v>31</v>
      </c>
      <c r="R5" t="s">
        <v>31</v>
      </c>
      <c r="S5" t="s">
        <v>31</v>
      </c>
      <c r="T5" t="s">
        <v>31</v>
      </c>
      <c r="V5" s="135"/>
      <c r="W5" s="43" t="str">
        <f t="shared" si="9"/>
        <v>Full name 11</v>
      </c>
      <c r="X5" s="31">
        <f t="shared" si="0"/>
        <v>0.25249078485831195</v>
      </c>
      <c r="Y5" s="40">
        <f t="shared" si="1"/>
        <v>0.1665708049082551</v>
      </c>
      <c r="Z5" s="32">
        <f t="shared" si="2"/>
        <v>0.13507080862831297</v>
      </c>
      <c r="AA5" s="31">
        <f t="shared" si="3"/>
        <v>8.4185751380508073E-2</v>
      </c>
      <c r="AB5" s="39" t="str">
        <f t="shared" si="4"/>
        <v>NaN</v>
      </c>
      <c r="AC5" s="32" t="str">
        <f t="shared" si="5"/>
        <v>NaN</v>
      </c>
      <c r="AD5" s="31" t="str">
        <f t="shared" si="6"/>
        <v>NaN</v>
      </c>
      <c r="AE5" s="39" t="str">
        <f t="shared" si="7"/>
        <v>NaN</v>
      </c>
      <c r="AF5" s="32" t="str">
        <f t="shared" si="8"/>
        <v>NaN</v>
      </c>
    </row>
    <row r="6" spans="1:32" ht="25" customHeight="1" x14ac:dyDescent="0.4">
      <c r="A6" t="s">
        <v>58</v>
      </c>
      <c r="B6" t="s">
        <v>82</v>
      </c>
      <c r="C6">
        <v>1.2105212424580623</v>
      </c>
      <c r="D6">
        <v>1.2105212424580623</v>
      </c>
      <c r="E6">
        <v>1.2105212424580623</v>
      </c>
      <c r="F6">
        <v>-0.2830926341478025</v>
      </c>
      <c r="G6">
        <v>-0.2830926341478025</v>
      </c>
      <c r="H6">
        <v>-0.2830926341478025</v>
      </c>
      <c r="I6">
        <v>-1.3014657318336196</v>
      </c>
      <c r="J6">
        <v>-1.3014657318336196</v>
      </c>
      <c r="K6">
        <v>-1.3014657318336196</v>
      </c>
      <c r="L6">
        <v>-2.4013086773343018</v>
      </c>
      <c r="M6">
        <v>-2.4013086773343018</v>
      </c>
      <c r="N6">
        <v>-2.4013086773343018</v>
      </c>
      <c r="O6">
        <v>-2.2202645710790456</v>
      </c>
      <c r="P6">
        <v>-2.2202645710790456</v>
      </c>
      <c r="Q6">
        <v>-2.2202645710790456</v>
      </c>
      <c r="R6" t="s">
        <v>31</v>
      </c>
      <c r="S6" t="s">
        <v>31</v>
      </c>
      <c r="T6" t="s">
        <v>31</v>
      </c>
      <c r="V6" s="135"/>
      <c r="W6" s="43" t="str">
        <f t="shared" si="9"/>
        <v>Full name 12</v>
      </c>
      <c r="X6" s="31">
        <f t="shared" si="0"/>
        <v>-2.4013086773343018</v>
      </c>
      <c r="Y6" s="39">
        <f t="shared" si="1"/>
        <v>-2.4013086773343018</v>
      </c>
      <c r="Z6" s="32">
        <f t="shared" si="2"/>
        <v>-2.4013086773343018</v>
      </c>
      <c r="AA6" s="31">
        <f t="shared" si="3"/>
        <v>-2.2202645710790456</v>
      </c>
      <c r="AB6" s="39">
        <f t="shared" si="4"/>
        <v>-2.2202645710790456</v>
      </c>
      <c r="AC6" s="32">
        <f t="shared" si="5"/>
        <v>-2.2202645710790456</v>
      </c>
      <c r="AD6" s="31" t="str">
        <f t="shared" si="6"/>
        <v>NaN</v>
      </c>
      <c r="AE6" s="39" t="str">
        <f t="shared" si="7"/>
        <v>NaN</v>
      </c>
      <c r="AF6" s="32" t="str">
        <f t="shared" si="8"/>
        <v>NaN</v>
      </c>
    </row>
    <row r="7" spans="1:32" ht="25" customHeight="1" x14ac:dyDescent="0.4">
      <c r="A7" t="s">
        <v>59</v>
      </c>
      <c r="B7" t="s">
        <v>80</v>
      </c>
      <c r="C7">
        <v>0.10349424620029879</v>
      </c>
      <c r="D7">
        <v>4.6716991894129728E-2</v>
      </c>
      <c r="E7">
        <v>9.4703539889174501E-2</v>
      </c>
      <c r="F7">
        <v>9.463361091895385E-2</v>
      </c>
      <c r="G7">
        <v>5.4552752840476636E-2</v>
      </c>
      <c r="H7">
        <v>-0.17069062942511895</v>
      </c>
      <c r="I7">
        <v>-0.26688985588195302</v>
      </c>
      <c r="J7">
        <v>-0.29903404909209291</v>
      </c>
      <c r="K7">
        <v>-4.0805484082885216E-2</v>
      </c>
      <c r="L7">
        <v>7.9601195728423793E-2</v>
      </c>
      <c r="M7">
        <v>0.13583606688516672</v>
      </c>
      <c r="N7">
        <v>1.4603755893756974E-2</v>
      </c>
      <c r="O7">
        <v>-3.3600955161504339E-2</v>
      </c>
      <c r="P7" t="s">
        <v>31</v>
      </c>
      <c r="Q7" t="s">
        <v>31</v>
      </c>
      <c r="R7" t="s">
        <v>31</v>
      </c>
      <c r="S7" t="s">
        <v>31</v>
      </c>
      <c r="T7" t="s">
        <v>31</v>
      </c>
      <c r="V7" s="135" t="str">
        <f>A7</f>
        <v>Group 2</v>
      </c>
      <c r="W7" s="43" t="str">
        <f t="shared" si="9"/>
        <v>Full name 1</v>
      </c>
      <c r="X7" s="31">
        <f t="shared" si="0"/>
        <v>7.9601195728423793E-2</v>
      </c>
      <c r="Y7" s="39">
        <f t="shared" si="1"/>
        <v>0.13583606688516672</v>
      </c>
      <c r="Z7" s="32">
        <f t="shared" si="2"/>
        <v>1.4603755893756974E-2</v>
      </c>
      <c r="AA7" s="31">
        <f t="shared" si="3"/>
        <v>-3.3600955161504339E-2</v>
      </c>
      <c r="AB7" s="39" t="str">
        <f t="shared" si="4"/>
        <v>NaN</v>
      </c>
      <c r="AC7" s="32" t="str">
        <f t="shared" si="5"/>
        <v>NaN</v>
      </c>
      <c r="AD7" s="31" t="str">
        <f t="shared" si="6"/>
        <v>NaN</v>
      </c>
      <c r="AE7" s="39" t="str">
        <f t="shared" si="7"/>
        <v>NaN</v>
      </c>
      <c r="AF7" s="32" t="str">
        <f t="shared" si="8"/>
        <v>NaN</v>
      </c>
    </row>
    <row r="8" spans="1:32" ht="25" customHeight="1" x14ac:dyDescent="0.4">
      <c r="A8" t="s">
        <v>59</v>
      </c>
      <c r="B8" t="s">
        <v>79</v>
      </c>
      <c r="C8">
        <v>8.0146713464143191E-2</v>
      </c>
      <c r="D8">
        <v>1.1841587975362817E-2</v>
      </c>
      <c r="E8">
        <v>4.5994150719753817E-2</v>
      </c>
      <c r="F8">
        <v>3.4609963138289068E-2</v>
      </c>
      <c r="G8">
        <v>-2.2310974769031419E-2</v>
      </c>
      <c r="H8">
        <v>-0.27276310156123312</v>
      </c>
      <c r="I8">
        <v>-0.3752207897944061</v>
      </c>
      <c r="J8">
        <v>-0.42075754012026023</v>
      </c>
      <c r="K8">
        <v>-0.13615285058366752</v>
      </c>
      <c r="L8">
        <v>4.574003938980721E-4</v>
      </c>
      <c r="M8">
        <v>8.01467134641448E-2</v>
      </c>
      <c r="N8">
        <v>-4.5079349931956052E-2</v>
      </c>
      <c r="O8">
        <v>-0.10200028783927492</v>
      </c>
      <c r="P8">
        <v>-5.6463537513420793E-2</v>
      </c>
      <c r="Q8" t="s">
        <v>31</v>
      </c>
      <c r="R8" t="s">
        <v>31</v>
      </c>
      <c r="S8" t="s">
        <v>31</v>
      </c>
      <c r="T8" t="s">
        <v>31</v>
      </c>
      <c r="V8" s="135"/>
      <c r="W8" s="43" t="str">
        <f t="shared" si="9"/>
        <v>Full name 2</v>
      </c>
      <c r="X8" s="31">
        <f t="shared" si="0"/>
        <v>4.574003938980721E-4</v>
      </c>
      <c r="Y8" s="39">
        <f t="shared" si="1"/>
        <v>8.01467134641448E-2</v>
      </c>
      <c r="Z8" s="32">
        <f t="shared" si="2"/>
        <v>-4.5079349931956052E-2</v>
      </c>
      <c r="AA8" s="31">
        <f t="shared" si="3"/>
        <v>-0.10200028783927492</v>
      </c>
      <c r="AB8" s="39">
        <f t="shared" si="4"/>
        <v>-5.6463537513420793E-2</v>
      </c>
      <c r="AC8" s="32" t="str">
        <f t="shared" si="5"/>
        <v>NaN</v>
      </c>
      <c r="AD8" s="31" t="str">
        <f t="shared" si="6"/>
        <v>NaN</v>
      </c>
      <c r="AE8" s="39" t="str">
        <f t="shared" si="7"/>
        <v>NaN</v>
      </c>
      <c r="AF8" s="32" t="str">
        <f t="shared" si="8"/>
        <v>NaN</v>
      </c>
    </row>
    <row r="9" spans="1:32" ht="25" customHeight="1" x14ac:dyDescent="0.4">
      <c r="A9" t="s">
        <v>59</v>
      </c>
      <c r="B9" t="s">
        <v>86</v>
      </c>
      <c r="C9">
        <v>3.6437407062214253E-2</v>
      </c>
      <c r="D9">
        <v>4.6129645443742325E-2</v>
      </c>
      <c r="E9">
        <v>5.2072584898101508E-2</v>
      </c>
      <c r="F9">
        <v>4.6827691129184314E-2</v>
      </c>
      <c r="G9">
        <v>-2.105796769048875E-2</v>
      </c>
      <c r="H9">
        <v>-6.4045420560025518E-2</v>
      </c>
      <c r="I9">
        <v>-9.6542205089089617E-2</v>
      </c>
      <c r="J9">
        <v>-5.1007640486458554E-2</v>
      </c>
      <c r="K9">
        <v>2.8924592846386588E-2</v>
      </c>
      <c r="L9">
        <v>9.5029793814421323E-2</v>
      </c>
      <c r="M9">
        <v>9.3199465529620523E-2</v>
      </c>
      <c r="N9">
        <v>4.9739634169828878E-2</v>
      </c>
      <c r="O9">
        <v>3.4873899086193968E-2</v>
      </c>
      <c r="P9">
        <v>3.7570069809488564E-2</v>
      </c>
      <c r="Q9" t="s">
        <v>31</v>
      </c>
      <c r="R9" t="s">
        <v>31</v>
      </c>
      <c r="S9" t="s">
        <v>31</v>
      </c>
      <c r="T9" t="s">
        <v>31</v>
      </c>
      <c r="V9" s="135"/>
      <c r="W9" s="43" t="str">
        <f t="shared" si="9"/>
        <v>Full name 3</v>
      </c>
      <c r="X9" s="31">
        <f t="shared" si="0"/>
        <v>9.5029793814421323E-2</v>
      </c>
      <c r="Y9" s="39">
        <f t="shared" si="1"/>
        <v>9.3199465529620523E-2</v>
      </c>
      <c r="Z9" s="32">
        <f t="shared" si="2"/>
        <v>4.9739634169828878E-2</v>
      </c>
      <c r="AA9" s="31">
        <f t="shared" si="3"/>
        <v>3.4873899086193968E-2</v>
      </c>
      <c r="AB9" s="39">
        <f t="shared" si="4"/>
        <v>3.7570069809488564E-2</v>
      </c>
      <c r="AC9" s="32" t="str">
        <f t="shared" si="5"/>
        <v>NaN</v>
      </c>
      <c r="AD9" s="31" t="str">
        <f t="shared" si="6"/>
        <v>NaN</v>
      </c>
      <c r="AE9" s="39" t="str">
        <f t="shared" si="7"/>
        <v>NaN</v>
      </c>
      <c r="AF9" s="32" t="str">
        <f t="shared" si="8"/>
        <v>NaN</v>
      </c>
    </row>
    <row r="10" spans="1:32" ht="25" customHeight="1" x14ac:dyDescent="0.4">
      <c r="A10" t="s">
        <v>59</v>
      </c>
      <c r="B10" t="s">
        <v>85</v>
      </c>
      <c r="C10">
        <v>-0.56123924451140605</v>
      </c>
      <c r="D10">
        <v>-0.57200263969932941</v>
      </c>
      <c r="E10">
        <v>-0.52227912501685403</v>
      </c>
      <c r="F10">
        <v>-0.43749631862605737</v>
      </c>
      <c r="G10">
        <v>-0.34874044689743749</v>
      </c>
      <c r="H10">
        <v>-0.26732872624782456</v>
      </c>
      <c r="I10">
        <v>-0.18996230848763748</v>
      </c>
      <c r="J10">
        <v>-0.1154372344235903</v>
      </c>
      <c r="K10">
        <v>-5.0567913089653013E-2</v>
      </c>
      <c r="L10">
        <v>3.2731420338372738E-3</v>
      </c>
      <c r="M10">
        <v>5.5476812654470235E-2</v>
      </c>
      <c r="N10">
        <v>0.1159637225248691</v>
      </c>
      <c r="O10" t="s">
        <v>31</v>
      </c>
      <c r="P10" t="s">
        <v>31</v>
      </c>
      <c r="Q10" t="s">
        <v>31</v>
      </c>
      <c r="R10" t="s">
        <v>31</v>
      </c>
      <c r="S10" t="s">
        <v>31</v>
      </c>
      <c r="T10" t="s">
        <v>31</v>
      </c>
      <c r="V10" s="135"/>
      <c r="W10" s="43" t="str">
        <f t="shared" si="9"/>
        <v>Full name 4</v>
      </c>
      <c r="X10" s="31">
        <f t="shared" si="0"/>
        <v>3.2731420338372738E-3</v>
      </c>
      <c r="Y10" s="39">
        <f t="shared" si="1"/>
        <v>5.5476812654470235E-2</v>
      </c>
      <c r="Z10" s="32">
        <f t="shared" si="2"/>
        <v>0.1159637225248691</v>
      </c>
      <c r="AA10" s="31" t="str">
        <f t="shared" si="3"/>
        <v>NaN</v>
      </c>
      <c r="AB10" s="39" t="str">
        <f t="shared" si="4"/>
        <v>NaN</v>
      </c>
      <c r="AC10" s="32" t="str">
        <f t="shared" si="5"/>
        <v>NaN</v>
      </c>
      <c r="AD10" s="31" t="str">
        <f t="shared" si="6"/>
        <v>NaN</v>
      </c>
      <c r="AE10" s="39" t="str">
        <f t="shared" si="7"/>
        <v>NaN</v>
      </c>
      <c r="AF10" s="32" t="str">
        <f t="shared" si="8"/>
        <v>NaN</v>
      </c>
    </row>
    <row r="11" spans="1:32" ht="25" customHeight="1" x14ac:dyDescent="0.4">
      <c r="A11" t="s">
        <v>60</v>
      </c>
      <c r="B11" t="s">
        <v>89</v>
      </c>
      <c r="C11">
        <v>-0.5636297655136504</v>
      </c>
      <c r="D11">
        <v>-0.57444090044155938</v>
      </c>
      <c r="E11">
        <v>-0.52463342995504503</v>
      </c>
      <c r="F11">
        <v>-0.43964211481648791</v>
      </c>
      <c r="G11">
        <v>-0.35070214838184322</v>
      </c>
      <c r="H11">
        <v>-0.26908761090338501</v>
      </c>
      <c r="I11">
        <v>-0.19161234926634899</v>
      </c>
      <c r="J11">
        <v>-0.11691475957552594</v>
      </c>
      <c r="K11">
        <v>-5.193902169645221E-2</v>
      </c>
      <c r="L11">
        <v>2.0621887872866369E-3</v>
      </c>
      <c r="M11">
        <v>5.4375010440979928E-2</v>
      </c>
      <c r="N11">
        <v>0.1149936158554072</v>
      </c>
      <c r="O11">
        <v>0.17844435737186121</v>
      </c>
      <c r="P11" t="s">
        <v>31</v>
      </c>
      <c r="Q11" t="s">
        <v>31</v>
      </c>
      <c r="R11" t="s">
        <v>31</v>
      </c>
      <c r="S11" t="s">
        <v>31</v>
      </c>
      <c r="T11" t="s">
        <v>31</v>
      </c>
      <c r="V11" s="135" t="str">
        <f>A11</f>
        <v>Group 3</v>
      </c>
      <c r="W11" s="43" t="str">
        <f t="shared" si="9"/>
        <v>Full name 5</v>
      </c>
      <c r="X11" s="31">
        <f t="shared" si="0"/>
        <v>2.0621887872866369E-3</v>
      </c>
      <c r="Y11" s="39">
        <f t="shared" si="1"/>
        <v>5.4375010440979928E-2</v>
      </c>
      <c r="Z11" s="32">
        <f t="shared" si="2"/>
        <v>0.1149936158554072</v>
      </c>
      <c r="AA11" s="31">
        <f t="shared" si="3"/>
        <v>0.17844435737186121</v>
      </c>
      <c r="AB11" s="39" t="str">
        <f t="shared" si="4"/>
        <v>NaN</v>
      </c>
      <c r="AC11" s="32" t="str">
        <f t="shared" si="5"/>
        <v>NaN</v>
      </c>
      <c r="AD11" s="31" t="str">
        <f t="shared" si="6"/>
        <v>NaN</v>
      </c>
      <c r="AE11" s="39" t="str">
        <f t="shared" si="7"/>
        <v>NaN</v>
      </c>
      <c r="AF11" s="32" t="str">
        <f t="shared" si="8"/>
        <v>NaN</v>
      </c>
    </row>
    <row r="12" spans="1:32" ht="25" customHeight="1" x14ac:dyDescent="0.4">
      <c r="A12" t="s">
        <v>60</v>
      </c>
      <c r="B12" t="s">
        <v>83</v>
      </c>
      <c r="C12">
        <v>-1.1144181479174524</v>
      </c>
      <c r="D12">
        <v>-0.83070547455334232</v>
      </c>
      <c r="E12">
        <v>-0.19524244910301822</v>
      </c>
      <c r="F12">
        <v>0.44217721547395661</v>
      </c>
      <c r="G12">
        <v>0.69440578652743301</v>
      </c>
      <c r="H12">
        <v>0.67097058607871063</v>
      </c>
      <c r="I12">
        <v>0.66172101929818428</v>
      </c>
      <c r="J12">
        <v>0.76119833125986636</v>
      </c>
      <c r="K12">
        <v>0.70730181713489715</v>
      </c>
      <c r="L12">
        <v>0.39970925261146029</v>
      </c>
      <c r="M12">
        <v>1.7453117777937947E-2</v>
      </c>
      <c r="N12">
        <v>-1.9634087486278221E-2</v>
      </c>
      <c r="O12">
        <v>0.37293887183321295</v>
      </c>
      <c r="P12">
        <v>0.98683439781934201</v>
      </c>
      <c r="Q12" t="s">
        <v>31</v>
      </c>
      <c r="R12" t="s">
        <v>31</v>
      </c>
      <c r="S12" t="s">
        <v>31</v>
      </c>
      <c r="T12" t="s">
        <v>31</v>
      </c>
      <c r="V12" s="135"/>
      <c r="W12" s="43" t="str">
        <f t="shared" si="9"/>
        <v>Full name 6</v>
      </c>
      <c r="X12" s="31">
        <f t="shared" si="0"/>
        <v>0.39970925261146029</v>
      </c>
      <c r="Y12" s="39">
        <f t="shared" si="1"/>
        <v>1.7453117777937947E-2</v>
      </c>
      <c r="Z12" s="32">
        <f t="shared" si="2"/>
        <v>-1.9634087486278221E-2</v>
      </c>
      <c r="AA12" s="31">
        <f t="shared" si="3"/>
        <v>0.37293887183321295</v>
      </c>
      <c r="AB12" s="39">
        <f t="shared" si="4"/>
        <v>0.98683439781934201</v>
      </c>
      <c r="AC12" s="32" t="str">
        <f t="shared" si="5"/>
        <v>NaN</v>
      </c>
      <c r="AD12" s="31" t="str">
        <f t="shared" si="6"/>
        <v>NaN</v>
      </c>
      <c r="AE12" s="39" t="str">
        <f t="shared" si="7"/>
        <v>NaN</v>
      </c>
      <c r="AF12" s="32" t="str">
        <f t="shared" si="8"/>
        <v>NaN</v>
      </c>
    </row>
    <row r="13" spans="1:32" ht="25" customHeight="1" x14ac:dyDescent="0.4">
      <c r="A13" t="s">
        <v>60</v>
      </c>
      <c r="B13" t="s">
        <v>88</v>
      </c>
      <c r="C13">
        <v>0.11601606469654289</v>
      </c>
      <c r="D13">
        <v>-7.3672672901910112E-3</v>
      </c>
      <c r="E13">
        <v>-0.11283871185359742</v>
      </c>
      <c r="F13">
        <v>-2.2685551848554336E-2</v>
      </c>
      <c r="G13">
        <v>-8.4695694204467376E-2</v>
      </c>
      <c r="H13">
        <v>-0.13598049324580608</v>
      </c>
      <c r="I13">
        <v>-0.18762843714511154</v>
      </c>
      <c r="J13">
        <v>-9.800835249250138E-2</v>
      </c>
      <c r="K13">
        <v>1.6401053322239584E-2</v>
      </c>
      <c r="L13">
        <v>-8.1228717418523194E-2</v>
      </c>
      <c r="M13">
        <v>-0.14439012996052103</v>
      </c>
      <c r="N13">
        <v>-0.13912743349304232</v>
      </c>
      <c r="O13">
        <v>-1.0883615555435459E-2</v>
      </c>
      <c r="P13">
        <v>4.3217507320227742E-2</v>
      </c>
      <c r="Q13" t="s">
        <v>31</v>
      </c>
      <c r="R13" t="s">
        <v>31</v>
      </c>
      <c r="S13" t="s">
        <v>31</v>
      </c>
      <c r="T13" t="s">
        <v>31</v>
      </c>
      <c r="V13" s="135"/>
      <c r="W13" s="44" t="str">
        <f t="shared" si="9"/>
        <v>Full name 7</v>
      </c>
      <c r="X13" s="31">
        <f t="shared" si="0"/>
        <v>-8.1228717418523194E-2</v>
      </c>
      <c r="Y13" s="39">
        <f t="shared" si="1"/>
        <v>-0.14439012996052103</v>
      </c>
      <c r="Z13" s="32">
        <f t="shared" si="2"/>
        <v>-0.13912743349304232</v>
      </c>
      <c r="AA13" s="31">
        <f t="shared" si="3"/>
        <v>-1.0883615555435459E-2</v>
      </c>
      <c r="AB13" s="39">
        <f t="shared" si="4"/>
        <v>4.3217507320227742E-2</v>
      </c>
      <c r="AC13" s="32" t="str">
        <f t="shared" si="5"/>
        <v>NaN</v>
      </c>
      <c r="AD13" s="31" t="str">
        <f t="shared" si="6"/>
        <v>NaN</v>
      </c>
      <c r="AE13" s="39" t="str">
        <f t="shared" si="7"/>
        <v>NaN</v>
      </c>
      <c r="AF13" s="32" t="str">
        <f t="shared" si="8"/>
        <v>NaN</v>
      </c>
    </row>
    <row r="14" spans="1:32" ht="25" customHeight="1" x14ac:dyDescent="0.4">
      <c r="A14" t="s">
        <v>60</v>
      </c>
      <c r="B14" t="s">
        <v>87</v>
      </c>
      <c r="C14">
        <v>-0.15089889861107361</v>
      </c>
      <c r="D14">
        <v>-0.22880784659931769</v>
      </c>
      <c r="E14">
        <v>-0.23628050791622607</v>
      </c>
      <c r="F14">
        <v>-9.1542994146862205E-2</v>
      </c>
      <c r="G14">
        <v>-0.14107432461852462</v>
      </c>
      <c r="H14">
        <v>-0.20606236247617041</v>
      </c>
      <c r="I14">
        <v>-0.24456533450952778</v>
      </c>
      <c r="J14">
        <v>-0.1463398572625868</v>
      </c>
      <c r="K14">
        <v>-3.3270689474516613E-2</v>
      </c>
      <c r="L14">
        <v>-0.13169161202464361</v>
      </c>
      <c r="M14">
        <v>-0.17181485595870838</v>
      </c>
      <c r="N14">
        <v>-0.15177698983795074</v>
      </c>
      <c r="O14">
        <v>-6.8142772955766479E-4</v>
      </c>
      <c r="P14">
        <v>3.2216104564188337E-2</v>
      </c>
      <c r="Q14" t="s">
        <v>31</v>
      </c>
      <c r="R14" t="s">
        <v>31</v>
      </c>
      <c r="S14" t="s">
        <v>31</v>
      </c>
      <c r="T14" t="s">
        <v>31</v>
      </c>
      <c r="V14" s="135"/>
      <c r="W14" s="44" t="str">
        <f t="shared" si="9"/>
        <v>Full name 8</v>
      </c>
      <c r="X14" s="31">
        <f t="shared" si="0"/>
        <v>-0.13169161202464361</v>
      </c>
      <c r="Y14" s="39">
        <f t="shared" si="1"/>
        <v>-0.17181485595870838</v>
      </c>
      <c r="Z14" s="32">
        <f t="shared" si="2"/>
        <v>-0.15177698983795074</v>
      </c>
      <c r="AA14" s="31">
        <f t="shared" si="3"/>
        <v>-6.8142772955766479E-4</v>
      </c>
      <c r="AB14" s="39">
        <f t="shared" si="4"/>
        <v>3.2216104564188337E-2</v>
      </c>
      <c r="AC14" s="32" t="str">
        <f t="shared" si="5"/>
        <v>NaN</v>
      </c>
      <c r="AD14" s="31" t="str">
        <f t="shared" si="6"/>
        <v>NaN</v>
      </c>
      <c r="AE14" s="39" t="str">
        <f t="shared" si="7"/>
        <v>NaN</v>
      </c>
      <c r="AF14" s="32" t="str">
        <f t="shared" si="8"/>
        <v>NaN</v>
      </c>
    </row>
    <row r="15" spans="1:32" ht="25" customHeight="1" x14ac:dyDescent="0.4">
      <c r="A15" t="s">
        <v>58</v>
      </c>
      <c r="B15" t="s">
        <v>84</v>
      </c>
      <c r="C15">
        <v>0.23093034152569594</v>
      </c>
      <c r="D15">
        <v>0.23093034152569594</v>
      </c>
      <c r="E15">
        <v>0.23093034152569594</v>
      </c>
      <c r="F15">
        <v>0.12272355608040257</v>
      </c>
      <c r="G15">
        <v>0.12272355608040257</v>
      </c>
      <c r="H15">
        <v>0.12272355608040257</v>
      </c>
      <c r="I15">
        <v>2.9983764002015675E-2</v>
      </c>
      <c r="J15">
        <v>2.9983764002015675E-2</v>
      </c>
      <c r="K15">
        <v>2.9983764002015675E-2</v>
      </c>
      <c r="L15">
        <v>3.9446283351519437E-2</v>
      </c>
      <c r="M15">
        <v>3.9446283351519437E-2</v>
      </c>
      <c r="N15">
        <v>3.9446283351519437E-2</v>
      </c>
      <c r="O15" t="s">
        <v>31</v>
      </c>
      <c r="P15" t="s">
        <v>31</v>
      </c>
      <c r="Q15" t="s">
        <v>31</v>
      </c>
      <c r="R15" t="s">
        <v>31</v>
      </c>
      <c r="S15" t="s">
        <v>31</v>
      </c>
      <c r="T15" t="s">
        <v>31</v>
      </c>
      <c r="V15" s="43"/>
      <c r="W15" s="127" t="str">
        <f t="shared" si="9"/>
        <v>Full name target</v>
      </c>
      <c r="X15" s="131">
        <f t="shared" si="0"/>
        <v>3.9446283351519437E-2</v>
      </c>
      <c r="Y15" s="129">
        <f t="shared" si="1"/>
        <v>3.9446283351519437E-2</v>
      </c>
      <c r="Z15" s="130">
        <f t="shared" si="2"/>
        <v>3.9446283351519437E-2</v>
      </c>
      <c r="AA15" s="131" t="str">
        <f t="shared" si="3"/>
        <v>NaN</v>
      </c>
      <c r="AB15" s="129" t="str">
        <f t="shared" si="4"/>
        <v>NaN</v>
      </c>
      <c r="AC15" s="130" t="str">
        <f t="shared" si="5"/>
        <v>NaN</v>
      </c>
      <c r="AD15" s="131" t="str">
        <f t="shared" si="6"/>
        <v>NaN</v>
      </c>
      <c r="AE15" s="129" t="str">
        <f t="shared" si="7"/>
        <v>NaN</v>
      </c>
      <c r="AF15" s="130" t="str">
        <f t="shared" si="8"/>
        <v>NaN</v>
      </c>
    </row>
    <row r="16" spans="1:32" ht="25" customHeight="1" x14ac:dyDescent="0.4">
      <c r="V16" s="55" t="s">
        <v>32</v>
      </c>
    </row>
    <row r="17" spans="1:35" ht="25" customHeight="1" x14ac:dyDescent="0.4"/>
    <row r="18" spans="1:35" ht="25" customHeight="1" x14ac:dyDescent="0.4">
      <c r="X18" s="132" t="s">
        <v>17</v>
      </c>
      <c r="Y18" s="133"/>
      <c r="Z18" s="134"/>
      <c r="AA18" s="132" t="s">
        <v>30</v>
      </c>
      <c r="AB18" s="133"/>
      <c r="AC18" s="134"/>
      <c r="AD18" s="132" t="s">
        <v>33</v>
      </c>
      <c r="AE18" s="133"/>
      <c r="AF18" s="134"/>
    </row>
    <row r="19" spans="1:35" ht="25" customHeight="1" x14ac:dyDescent="0.4">
      <c r="C19" s="26">
        <v>44757</v>
      </c>
      <c r="D19" s="26">
        <v>44788</v>
      </c>
      <c r="E19" s="26">
        <v>44819</v>
      </c>
      <c r="F19" s="26">
        <v>44849</v>
      </c>
      <c r="G19" s="26">
        <v>44880</v>
      </c>
      <c r="H19" s="26">
        <v>44910</v>
      </c>
      <c r="I19" s="26">
        <v>44941</v>
      </c>
      <c r="J19" s="26">
        <v>44972</v>
      </c>
      <c r="K19" s="26">
        <v>45000</v>
      </c>
      <c r="L19" s="26">
        <v>45031</v>
      </c>
      <c r="M19" s="26">
        <v>45061</v>
      </c>
      <c r="N19" s="26">
        <v>45092</v>
      </c>
      <c r="O19" s="26">
        <v>45122</v>
      </c>
      <c r="P19" s="26">
        <v>45153</v>
      </c>
      <c r="Q19" s="26">
        <v>45184</v>
      </c>
      <c r="R19" s="26">
        <v>45214</v>
      </c>
      <c r="S19" s="26">
        <v>45245</v>
      </c>
      <c r="T19" s="26">
        <v>45275</v>
      </c>
      <c r="X19" s="36">
        <f t="shared" ref="X19:X23" si="10">L19</f>
        <v>45031</v>
      </c>
      <c r="Y19" s="37">
        <f t="shared" ref="Y19:Y23" si="11">M19</f>
        <v>45061</v>
      </c>
      <c r="Z19" s="38">
        <f t="shared" ref="Z19:Z23" si="12">N19</f>
        <v>45092</v>
      </c>
      <c r="AA19" s="37">
        <f t="shared" ref="AA19:AA23" si="13">O19</f>
        <v>45122</v>
      </c>
      <c r="AB19" s="37">
        <f t="shared" ref="AB19:AB23" si="14">P19</f>
        <v>45153</v>
      </c>
      <c r="AC19" s="37">
        <f t="shared" ref="AC19:AC23" si="15">Q19</f>
        <v>45184</v>
      </c>
      <c r="AD19" s="36">
        <f t="shared" ref="AD19:AD23" si="16">R19</f>
        <v>45214</v>
      </c>
      <c r="AE19" s="37">
        <f t="shared" ref="AE19:AE23" si="17">S19</f>
        <v>45245</v>
      </c>
      <c r="AF19" s="38">
        <f>T19</f>
        <v>45275</v>
      </c>
    </row>
    <row r="20" spans="1:35" ht="25" customHeight="1" x14ac:dyDescent="0.4">
      <c r="A20" t="s">
        <v>58</v>
      </c>
      <c r="C20">
        <v>-2.6969455090445293E-2</v>
      </c>
      <c r="D20">
        <v>5.5595543104422496E-2</v>
      </c>
      <c r="E20">
        <v>0.11030055332446403</v>
      </c>
      <c r="F20">
        <v>-7.6700236060004062E-2</v>
      </c>
      <c r="G20">
        <v>-9.6935550267464074E-2</v>
      </c>
      <c r="H20">
        <v>-0.1486965518730291</v>
      </c>
      <c r="I20">
        <v>-0.50883395870051595</v>
      </c>
      <c r="J20">
        <v>-0.42281986146409722</v>
      </c>
      <c r="K20">
        <v>-0.27935669460061147</v>
      </c>
      <c r="L20">
        <v>-0.46048055953199385</v>
      </c>
      <c r="M20">
        <v>-0.46534225358208353</v>
      </c>
      <c r="N20">
        <v>-0.49383879541323006</v>
      </c>
      <c r="O20">
        <v>-0.45087148500362506</v>
      </c>
      <c r="P20">
        <v>-1.1681313605612271</v>
      </c>
      <c r="Q20">
        <v>-2.2202645710790456</v>
      </c>
      <c r="R20" t="s">
        <v>31</v>
      </c>
      <c r="S20" t="s">
        <v>31</v>
      </c>
      <c r="T20" t="s">
        <v>31</v>
      </c>
      <c r="W20" s="103" t="str">
        <f>A20</f>
        <v>Group 1</v>
      </c>
      <c r="X20" s="34">
        <f t="shared" si="10"/>
        <v>-0.46048055953199385</v>
      </c>
      <c r="Y20" s="34">
        <f t="shared" si="11"/>
        <v>-0.46534225358208353</v>
      </c>
      <c r="Z20" s="35">
        <f t="shared" si="12"/>
        <v>-0.49383879541323006</v>
      </c>
      <c r="AA20" s="33">
        <f t="shared" si="13"/>
        <v>-0.45087148500362506</v>
      </c>
      <c r="AB20" s="34">
        <f t="shared" si="14"/>
        <v>-1.1681313605612271</v>
      </c>
      <c r="AC20" s="35">
        <f t="shared" si="15"/>
        <v>-2.2202645710790456</v>
      </c>
      <c r="AD20" s="33" t="str">
        <f t="shared" si="16"/>
        <v>NaN</v>
      </c>
      <c r="AE20" s="34" t="str">
        <f t="shared" si="17"/>
        <v>NaN</v>
      </c>
      <c r="AF20" s="35" t="str">
        <f t="shared" ref="AF20:AF23" si="18">T20</f>
        <v>NaN</v>
      </c>
    </row>
    <row r="21" spans="1:35" ht="25" customHeight="1" x14ac:dyDescent="0.4">
      <c r="A21" t="s">
        <v>59</v>
      </c>
      <c r="C21">
        <v>-8.5290219446187449E-2</v>
      </c>
      <c r="D21">
        <v>-0.11682860359652364</v>
      </c>
      <c r="E21">
        <v>-8.2377212377456044E-2</v>
      </c>
      <c r="F21">
        <v>-6.5356263359907546E-2</v>
      </c>
      <c r="G21">
        <v>-8.4389159129120261E-2</v>
      </c>
      <c r="H21">
        <v>-0.19370696944855054</v>
      </c>
      <c r="I21">
        <v>-0.23215378981327156</v>
      </c>
      <c r="J21">
        <v>-0.22155911603060052</v>
      </c>
      <c r="K21">
        <v>-4.9650413727454795E-2</v>
      </c>
      <c r="L21">
        <v>4.4590382992645117E-2</v>
      </c>
      <c r="M21">
        <v>9.1164764633350576E-2</v>
      </c>
      <c r="N21">
        <v>3.3806940664124721E-2</v>
      </c>
      <c r="O21">
        <v>-3.357578130486176E-2</v>
      </c>
      <c r="P21">
        <v>-9.4467338519661145E-3</v>
      </c>
      <c r="Q21" t="s">
        <v>31</v>
      </c>
      <c r="R21" t="s">
        <v>31</v>
      </c>
      <c r="S21" t="s">
        <v>31</v>
      </c>
      <c r="T21" t="s">
        <v>31</v>
      </c>
      <c r="W21" s="104" t="str">
        <f t="shared" ref="W21:W23" si="19">A21</f>
        <v>Group 2</v>
      </c>
      <c r="X21" s="39">
        <f t="shared" si="10"/>
        <v>4.4590382992645117E-2</v>
      </c>
      <c r="Y21" s="39">
        <f t="shared" si="11"/>
        <v>9.1164764633350576E-2</v>
      </c>
      <c r="Z21" s="32">
        <f t="shared" si="12"/>
        <v>3.3806940664124721E-2</v>
      </c>
      <c r="AA21" s="31">
        <f t="shared" si="13"/>
        <v>-3.357578130486176E-2</v>
      </c>
      <c r="AB21" s="39">
        <f t="shared" si="14"/>
        <v>-9.4467338519661145E-3</v>
      </c>
      <c r="AC21" s="32" t="str">
        <f t="shared" si="15"/>
        <v>NaN</v>
      </c>
      <c r="AD21" s="31" t="str">
        <f t="shared" si="16"/>
        <v>NaN</v>
      </c>
      <c r="AE21" s="39" t="str">
        <f t="shared" si="17"/>
        <v>NaN</v>
      </c>
      <c r="AF21" s="32" t="str">
        <f t="shared" si="18"/>
        <v>NaN</v>
      </c>
    </row>
    <row r="22" spans="1:35" ht="25" customHeight="1" x14ac:dyDescent="0.4">
      <c r="A22" t="s">
        <v>60</v>
      </c>
      <c r="C22">
        <v>-0.42823268683640836</v>
      </c>
      <c r="D22">
        <v>-0.41033037222110258</v>
      </c>
      <c r="E22">
        <v>-0.26724877470697167</v>
      </c>
      <c r="F22">
        <v>-2.792336133448696E-2</v>
      </c>
      <c r="G22">
        <v>2.948340483064945E-2</v>
      </c>
      <c r="H22">
        <v>1.4960029863337283E-2</v>
      </c>
      <c r="I22">
        <v>9.4787245942989928E-3</v>
      </c>
      <c r="J22">
        <v>9.9983840482313069E-2</v>
      </c>
      <c r="K22">
        <v>0.15962328982154197</v>
      </c>
      <c r="L22">
        <v>4.721277798889504E-2</v>
      </c>
      <c r="M22">
        <v>-6.1094214425077883E-2</v>
      </c>
      <c r="N22">
        <v>-4.8886223740466021E-2</v>
      </c>
      <c r="O22">
        <v>0.13495454648002025</v>
      </c>
      <c r="P22">
        <v>0.35408933656791941</v>
      </c>
      <c r="Q22" t="s">
        <v>31</v>
      </c>
      <c r="R22" t="s">
        <v>31</v>
      </c>
      <c r="S22" t="s">
        <v>31</v>
      </c>
      <c r="T22" t="s">
        <v>31</v>
      </c>
      <c r="W22" s="104" t="str">
        <f t="shared" si="19"/>
        <v>Group 3</v>
      </c>
      <c r="X22" s="39">
        <f t="shared" si="10"/>
        <v>4.721277798889504E-2</v>
      </c>
      <c r="Y22" s="39">
        <f t="shared" si="11"/>
        <v>-6.1094214425077883E-2</v>
      </c>
      <c r="Z22" s="32">
        <f t="shared" si="12"/>
        <v>-4.8886223740466021E-2</v>
      </c>
      <c r="AA22" s="31">
        <f t="shared" si="13"/>
        <v>0.13495454648002025</v>
      </c>
      <c r="AB22" s="39">
        <f t="shared" si="14"/>
        <v>0.35408933656791941</v>
      </c>
      <c r="AC22" s="32" t="str">
        <f t="shared" si="15"/>
        <v>NaN</v>
      </c>
      <c r="AD22" s="31" t="str">
        <f t="shared" si="16"/>
        <v>NaN</v>
      </c>
      <c r="AE22" s="39" t="str">
        <f t="shared" si="17"/>
        <v>NaN</v>
      </c>
      <c r="AF22" s="32" t="str">
        <f t="shared" si="18"/>
        <v>NaN</v>
      </c>
    </row>
    <row r="23" spans="1:35" ht="25" customHeight="1" x14ac:dyDescent="0.4">
      <c r="A23" t="s">
        <v>84</v>
      </c>
      <c r="C23">
        <v>0.23093034152569594</v>
      </c>
      <c r="D23">
        <v>0.23093034152569594</v>
      </c>
      <c r="E23">
        <v>0.23093034152569594</v>
      </c>
      <c r="F23">
        <v>0.12272355608040257</v>
      </c>
      <c r="G23">
        <v>0.12272355608040257</v>
      </c>
      <c r="H23">
        <v>0.12272355608040257</v>
      </c>
      <c r="I23">
        <v>2.9983764002015675E-2</v>
      </c>
      <c r="J23">
        <v>2.9983764002015675E-2</v>
      </c>
      <c r="K23">
        <v>2.9983764002015675E-2</v>
      </c>
      <c r="L23">
        <v>3.9446283351519437E-2</v>
      </c>
      <c r="M23">
        <v>3.9446283351519437E-2</v>
      </c>
      <c r="N23">
        <v>3.9446283351519437E-2</v>
      </c>
      <c r="O23" t="s">
        <v>31</v>
      </c>
      <c r="P23" t="s">
        <v>31</v>
      </c>
      <c r="Q23" t="s">
        <v>31</v>
      </c>
      <c r="R23" t="s">
        <v>31</v>
      </c>
      <c r="S23" t="s">
        <v>31</v>
      </c>
      <c r="T23" t="s">
        <v>31</v>
      </c>
      <c r="W23" s="128" t="str">
        <f t="shared" si="19"/>
        <v>Full name target</v>
      </c>
      <c r="X23" s="129">
        <f t="shared" si="10"/>
        <v>3.9446283351519437E-2</v>
      </c>
      <c r="Y23" s="129">
        <f t="shared" si="11"/>
        <v>3.9446283351519437E-2</v>
      </c>
      <c r="Z23" s="130">
        <f t="shared" si="12"/>
        <v>3.9446283351519437E-2</v>
      </c>
      <c r="AA23" s="131" t="str">
        <f t="shared" si="13"/>
        <v>NaN</v>
      </c>
      <c r="AB23" s="129" t="str">
        <f t="shared" si="14"/>
        <v>NaN</v>
      </c>
      <c r="AC23" s="130" t="str">
        <f t="shared" si="15"/>
        <v>NaN</v>
      </c>
      <c r="AD23" s="131" t="str">
        <f t="shared" si="16"/>
        <v>NaN</v>
      </c>
      <c r="AE23" s="129" t="str">
        <f t="shared" si="17"/>
        <v>NaN</v>
      </c>
      <c r="AF23" s="130" t="str">
        <f t="shared" si="18"/>
        <v>NaN</v>
      </c>
    </row>
    <row r="24" spans="1:35" ht="25" customHeight="1" x14ac:dyDescent="0.4">
      <c r="V24" s="55" t="s">
        <v>44</v>
      </c>
    </row>
    <row r="25" spans="1:35" ht="25" customHeight="1" x14ac:dyDescent="0.4"/>
    <row r="26" spans="1:35" ht="25" customHeight="1" x14ac:dyDescent="0.4">
      <c r="X26" s="54" t="s">
        <v>18</v>
      </c>
      <c r="Y26" s="56" t="s">
        <v>19</v>
      </c>
      <c r="Z26" s="57" t="s">
        <v>20</v>
      </c>
      <c r="AA26" s="58" t="s">
        <v>21</v>
      </c>
      <c r="AB26" s="59" t="s">
        <v>22</v>
      </c>
      <c r="AC26" s="60" t="s">
        <v>23</v>
      </c>
      <c r="AD26" s="61" t="s">
        <v>24</v>
      </c>
      <c r="AE26" s="62" t="s">
        <v>25</v>
      </c>
      <c r="AF26" s="63" t="s">
        <v>26</v>
      </c>
      <c r="AG26" s="64" t="s">
        <v>27</v>
      </c>
      <c r="AH26" s="65" t="s">
        <v>28</v>
      </c>
      <c r="AI26" s="66" t="s">
        <v>29</v>
      </c>
    </row>
    <row r="27" spans="1:35" ht="25" customHeight="1" x14ac:dyDescent="0.4"/>
    <row r="28" spans="1:35" ht="25" customHeight="1" x14ac:dyDescent="0.4"/>
    <row r="29" spans="1:35" ht="25" customHeight="1" x14ac:dyDescent="0.4"/>
    <row r="30" spans="1:35" ht="25" customHeight="1" x14ac:dyDescent="0.4"/>
    <row r="31" spans="1:35" ht="25" customHeight="1" x14ac:dyDescent="0.4"/>
    <row r="32" spans="1:35" ht="25" customHeight="1" x14ac:dyDescent="0.4"/>
    <row r="33" spans="3:24" ht="25" customHeight="1" x14ac:dyDescent="0.4"/>
    <row r="34" spans="3:24" ht="25" customHeight="1" x14ac:dyDescent="0.4">
      <c r="X34" s="55"/>
    </row>
    <row r="35" spans="3:24" ht="25" customHeight="1" x14ac:dyDescent="0.4"/>
    <row r="36" spans="3:24" ht="25" customHeight="1" x14ac:dyDescent="0.4"/>
    <row r="37" spans="3:24" ht="25" customHeight="1" x14ac:dyDescent="0.4">
      <c r="C37" s="26"/>
      <c r="D37" s="26"/>
      <c r="E37" s="26"/>
      <c r="F37" s="26"/>
      <c r="G37" s="26"/>
      <c r="H37" s="26"/>
      <c r="I37" s="26"/>
      <c r="J37" s="26"/>
      <c r="K37" s="26"/>
      <c r="L37" s="26"/>
      <c r="M37" s="26"/>
      <c r="N37" s="26"/>
      <c r="O37" s="26"/>
      <c r="P37" s="26"/>
      <c r="Q37" s="26"/>
      <c r="R37" s="26"/>
      <c r="S37" s="26"/>
      <c r="T37" s="26"/>
    </row>
    <row r="38" spans="3:24" ht="25" customHeight="1" x14ac:dyDescent="0.4"/>
    <row r="39" spans="3:24" ht="25" customHeight="1" x14ac:dyDescent="0.4"/>
    <row r="40" spans="3:24" ht="25" customHeight="1" x14ac:dyDescent="0.4"/>
    <row r="41" spans="3:24" ht="25" customHeight="1" x14ac:dyDescent="0.4"/>
    <row r="42" spans="3:24" ht="25" customHeight="1" x14ac:dyDescent="0.4"/>
    <row r="43" spans="3:24" ht="25" customHeight="1" x14ac:dyDescent="0.4"/>
    <row r="44" spans="3:24" ht="25" customHeight="1" x14ac:dyDescent="0.4"/>
    <row r="45" spans="3:24" ht="25" customHeight="1" x14ac:dyDescent="0.4"/>
    <row r="46" spans="3:24" ht="25" customHeight="1" x14ac:dyDescent="0.4"/>
    <row r="47" spans="3:24" ht="25" customHeight="1" x14ac:dyDescent="0.4"/>
    <row r="48" spans="3:24" ht="25" customHeight="1" x14ac:dyDescent="0.4"/>
    <row r="49" ht="25" customHeight="1" x14ac:dyDescent="0.4"/>
    <row r="50" ht="25" customHeight="1" x14ac:dyDescent="0.4"/>
    <row r="51" ht="25" customHeight="1" x14ac:dyDescent="0.4"/>
    <row r="52" ht="25" customHeight="1" x14ac:dyDescent="0.4"/>
    <row r="53" ht="25" customHeight="1" x14ac:dyDescent="0.4"/>
    <row r="54" ht="25" customHeight="1" x14ac:dyDescent="0.4"/>
    <row r="55" ht="25" customHeight="1" x14ac:dyDescent="0.4"/>
    <row r="56" ht="25" customHeight="1" x14ac:dyDescent="0.4"/>
    <row r="57" ht="25" customHeight="1" x14ac:dyDescent="0.4"/>
    <row r="58" ht="25" customHeight="1" x14ac:dyDescent="0.4"/>
    <row r="59" ht="25" customHeight="1" x14ac:dyDescent="0.4"/>
    <row r="60" ht="25" customHeight="1" x14ac:dyDescent="0.4"/>
    <row r="61" ht="25" customHeight="1" x14ac:dyDescent="0.4"/>
    <row r="62" ht="25" customHeight="1" x14ac:dyDescent="0.4"/>
    <row r="63" ht="25" customHeight="1" x14ac:dyDescent="0.4"/>
    <row r="64" ht="25" customHeight="1" x14ac:dyDescent="0.4"/>
    <row r="65" ht="25" customHeight="1" x14ac:dyDescent="0.4"/>
    <row r="66" ht="25" customHeight="1" x14ac:dyDescent="0.4"/>
    <row r="67" ht="25" customHeight="1" x14ac:dyDescent="0.4"/>
    <row r="68" ht="25" customHeight="1" x14ac:dyDescent="0.4"/>
    <row r="69" ht="25" customHeight="1" x14ac:dyDescent="0.4"/>
    <row r="70" ht="25" customHeight="1" x14ac:dyDescent="0.4"/>
  </sheetData>
  <mergeCells count="9">
    <mergeCell ref="AD18:AF18"/>
    <mergeCell ref="X1:Z1"/>
    <mergeCell ref="AA1:AC1"/>
    <mergeCell ref="AD1:AF1"/>
    <mergeCell ref="V11:V14"/>
    <mergeCell ref="V7:V10"/>
    <mergeCell ref="V3:V6"/>
    <mergeCell ref="X18:Z18"/>
    <mergeCell ref="AA18:AC18"/>
  </mergeCells>
  <conditionalFormatting sqref="X3:AF15">
    <cfRule type="cellIs" dxfId="25" priority="53" operator="equal">
      <formula>"NaN"</formula>
    </cfRule>
    <cfRule type="cellIs" dxfId="24" priority="54" operator="greaterThan">
      <formula>2.5</formula>
    </cfRule>
    <cfRule type="cellIs" dxfId="23" priority="55" operator="between">
      <formula>2</formula>
      <formula>2.5</formula>
    </cfRule>
    <cfRule type="cellIs" dxfId="22" priority="56" operator="between">
      <formula>1.5</formula>
      <formula>2</formula>
    </cfRule>
    <cfRule type="cellIs" dxfId="21" priority="57" operator="between">
      <formula>1</formula>
      <formula>1.5</formula>
    </cfRule>
    <cfRule type="cellIs" dxfId="20" priority="58" operator="between">
      <formula>0.5</formula>
      <formula>1</formula>
    </cfRule>
    <cfRule type="cellIs" dxfId="19" priority="59" operator="between">
      <formula>0</formula>
      <formula>0.5</formula>
    </cfRule>
    <cfRule type="cellIs" dxfId="18" priority="60" operator="between">
      <formula>-0.5</formula>
      <formula>-0.0000001</formula>
    </cfRule>
    <cfRule type="cellIs" dxfId="17" priority="61" operator="between">
      <formula>-1</formula>
      <formula>-0.5</formula>
    </cfRule>
    <cfRule type="cellIs" dxfId="16" priority="62" operator="between">
      <formula>-1.5</formula>
      <formula>-1</formula>
    </cfRule>
    <cfRule type="cellIs" dxfId="15" priority="63" operator="between">
      <formula>-2</formula>
      <formula>-1.5</formula>
    </cfRule>
    <cfRule type="cellIs" dxfId="14" priority="64" operator="between">
      <formula>-2</formula>
      <formula>-2.5</formula>
    </cfRule>
    <cfRule type="cellIs" dxfId="13" priority="65" operator="lessThan">
      <formula>-2.5</formula>
    </cfRule>
  </conditionalFormatting>
  <conditionalFormatting sqref="X20:AF23">
    <cfRule type="cellIs" dxfId="12" priority="14" operator="equal">
      <formula>"NaN"</formula>
    </cfRule>
    <cfRule type="cellIs" dxfId="11" priority="15" operator="greaterThan">
      <formula>2.5</formula>
    </cfRule>
    <cfRule type="cellIs" dxfId="10" priority="16" operator="between">
      <formula>2</formula>
      <formula>2.5</formula>
    </cfRule>
    <cfRule type="cellIs" dxfId="9" priority="17" operator="between">
      <formula>1.5</formula>
      <formula>2</formula>
    </cfRule>
    <cfRule type="cellIs" dxfId="8" priority="18" operator="between">
      <formula>1</formula>
      <formula>1.5</formula>
    </cfRule>
    <cfRule type="cellIs" dxfId="7" priority="19" operator="between">
      <formula>0.5</formula>
      <formula>1</formula>
    </cfRule>
    <cfRule type="cellIs" dxfId="6" priority="20" operator="between">
      <formula>0</formula>
      <formula>0.5</formula>
    </cfRule>
    <cfRule type="cellIs" dxfId="5" priority="21" operator="between">
      <formula>-0.5</formula>
      <formula>-0.0000001</formula>
    </cfRule>
    <cfRule type="cellIs" dxfId="4" priority="22" operator="between">
      <formula>-1</formula>
      <formula>-0.5</formula>
    </cfRule>
    <cfRule type="cellIs" dxfId="3" priority="23" operator="between">
      <formula>-1.5</formula>
      <formula>-1</formula>
    </cfRule>
    <cfRule type="cellIs" dxfId="2" priority="24" operator="between">
      <formula>-2</formula>
      <formula>-1.5</formula>
    </cfRule>
    <cfRule type="cellIs" dxfId="1" priority="25" operator="between">
      <formula>-2</formula>
      <formula>-2.5</formula>
    </cfRule>
    <cfRule type="cellIs" dxfId="0" priority="26" operator="lessThan">
      <formula>-2.5</formula>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0D7FC-B369-4EFF-A0D0-2964D1870B88}">
  <dimension ref="A1:C11"/>
  <sheetViews>
    <sheetView showGridLines="0" zoomScale="55" zoomScaleNormal="55" workbookViewId="0">
      <selection activeCell="A2" sqref="A2:A11"/>
    </sheetView>
  </sheetViews>
  <sheetFormatPr defaultRowHeight="14.6" x14ac:dyDescent="0.4"/>
  <cols>
    <col min="1" max="1" width="40.4609375" bestFit="1" customWidth="1"/>
  </cols>
  <sheetData>
    <row r="1" spans="1:3" x14ac:dyDescent="0.4">
      <c r="B1" s="27" t="s">
        <v>56</v>
      </c>
      <c r="C1" s="27" t="s">
        <v>16</v>
      </c>
    </row>
    <row r="2" spans="1:3" x14ac:dyDescent="0.4">
      <c r="A2" t="s">
        <v>91</v>
      </c>
      <c r="B2">
        <v>0.94593492232226339</v>
      </c>
      <c r="C2">
        <v>1.1696700450167241E-3</v>
      </c>
    </row>
    <row r="3" spans="1:3" x14ac:dyDescent="0.4">
      <c r="A3" t="s">
        <v>92</v>
      </c>
      <c r="B3">
        <v>0.92556395177594819</v>
      </c>
      <c r="C3">
        <v>0.32425794719983647</v>
      </c>
    </row>
    <row r="4" spans="1:3" x14ac:dyDescent="0.4">
      <c r="A4" t="s">
        <v>93</v>
      </c>
      <c r="B4">
        <v>0.63942374820899262</v>
      </c>
      <c r="C4">
        <v>0.59807329952981025</v>
      </c>
    </row>
    <row r="5" spans="1:3" x14ac:dyDescent="0.4">
      <c r="A5" t="s">
        <v>94</v>
      </c>
      <c r="B5">
        <v>0.92134737842481385</v>
      </c>
      <c r="C5">
        <v>-4.3240353800786113E-2</v>
      </c>
    </row>
    <row r="6" spans="1:3" x14ac:dyDescent="0.4">
      <c r="A6" t="s">
        <v>95</v>
      </c>
      <c r="B6">
        <v>0.6817992691431648</v>
      </c>
      <c r="C6">
        <v>0.62939931376445468</v>
      </c>
    </row>
    <row r="7" spans="1:3" x14ac:dyDescent="0.4">
      <c r="A7" t="s">
        <v>96</v>
      </c>
      <c r="B7">
        <v>-8.5098149328051764E-2</v>
      </c>
      <c r="C7">
        <v>0.39457613451002643</v>
      </c>
    </row>
    <row r="9" spans="1:3" x14ac:dyDescent="0.4">
      <c r="A9" t="s">
        <v>97</v>
      </c>
      <c r="B9">
        <v>-8.5098149328051764E-2</v>
      </c>
      <c r="C9">
        <v>-4.3240353800786113E-2</v>
      </c>
    </row>
    <row r="10" spans="1:3" x14ac:dyDescent="0.4">
      <c r="A10" t="s">
        <v>98</v>
      </c>
      <c r="B10">
        <v>0.94593492232226339</v>
      </c>
      <c r="C10">
        <v>0.62939931376445468</v>
      </c>
    </row>
    <row r="11" spans="1:3" x14ac:dyDescent="0.4">
      <c r="A11" t="s">
        <v>99</v>
      </c>
      <c r="B11">
        <v>0.81504087593124508</v>
      </c>
      <c r="C11">
        <v>1.087879510367447</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0FC25-6503-45CA-BB9F-1FA647F74EF0}">
  <dimension ref="A1:W95"/>
  <sheetViews>
    <sheetView showGridLines="0" zoomScale="55" zoomScaleNormal="55" workbookViewId="0">
      <selection activeCell="G2" sqref="G2:I21"/>
    </sheetView>
  </sheetViews>
  <sheetFormatPr defaultRowHeight="14.6" x14ac:dyDescent="0.4"/>
  <cols>
    <col min="1" max="1" width="19.23046875" customWidth="1"/>
    <col min="3" max="3" width="14.15234375" customWidth="1"/>
    <col min="4" max="4" width="16.69140625" customWidth="1"/>
    <col min="5" max="5" width="26.84375" customWidth="1"/>
    <col min="6" max="6" width="18.4609375" customWidth="1"/>
    <col min="7" max="7" width="19.15234375" customWidth="1"/>
    <col min="8" max="8" width="14.23046875" customWidth="1"/>
    <col min="9" max="9" width="13.53515625" customWidth="1"/>
    <col min="10" max="10" width="12.4609375" customWidth="1"/>
    <col min="11" max="11" width="14.84375" customWidth="1"/>
    <col min="12" max="12" width="9.53515625" customWidth="1"/>
    <col min="13" max="13" width="12.84375" customWidth="1"/>
    <col min="14" max="14" width="16.23046875" customWidth="1"/>
    <col min="15" max="15" width="9.15234375"/>
    <col min="17" max="17" width="57.53515625" customWidth="1"/>
    <col min="18" max="18" width="9.15234375" customWidth="1"/>
    <col min="19" max="19" width="57.53515625" customWidth="1"/>
  </cols>
  <sheetData>
    <row r="1" spans="1:18" x14ac:dyDescent="0.4">
      <c r="B1" t="s">
        <v>56</v>
      </c>
      <c r="C1" t="s">
        <v>16</v>
      </c>
      <c r="P1" s="18"/>
      <c r="Q1" s="51" t="s">
        <v>42</v>
      </c>
      <c r="R1" s="18"/>
    </row>
    <row r="2" spans="1:18" ht="15.45" x14ac:dyDescent="0.4">
      <c r="A2" t="s">
        <v>57</v>
      </c>
      <c r="B2">
        <v>0</v>
      </c>
      <c r="C2">
        <v>0</v>
      </c>
      <c r="P2" s="18"/>
      <c r="Q2" s="67" t="s">
        <v>12</v>
      </c>
      <c r="R2" s="18"/>
    </row>
    <row r="3" spans="1:18" x14ac:dyDescent="0.4">
      <c r="P3" s="18"/>
      <c r="Q3" s="68" t="s">
        <v>52</v>
      </c>
      <c r="R3" s="18"/>
    </row>
    <row r="4" spans="1:18" x14ac:dyDescent="0.4">
      <c r="A4" t="s">
        <v>58</v>
      </c>
      <c r="B4">
        <v>0</v>
      </c>
      <c r="C4">
        <v>0</v>
      </c>
      <c r="P4" s="18"/>
      <c r="Q4" s="19"/>
      <c r="R4" s="18"/>
    </row>
    <row r="5" spans="1:18" x14ac:dyDescent="0.4">
      <c r="A5" t="s">
        <v>59</v>
      </c>
      <c r="B5">
        <v>0</v>
      </c>
      <c r="C5">
        <v>0</v>
      </c>
      <c r="P5" s="18"/>
      <c r="Q5" s="19"/>
      <c r="R5" s="18"/>
    </row>
    <row r="6" spans="1:18" x14ac:dyDescent="0.4">
      <c r="A6" t="s">
        <v>60</v>
      </c>
      <c r="B6">
        <v>0</v>
      </c>
      <c r="C6">
        <v>0</v>
      </c>
      <c r="P6" s="18"/>
      <c r="Q6" s="19"/>
      <c r="R6" s="18"/>
    </row>
    <row r="7" spans="1:18" x14ac:dyDescent="0.4">
      <c r="A7" t="s">
        <v>61</v>
      </c>
      <c r="G7" t="s">
        <v>90</v>
      </c>
      <c r="P7" s="18"/>
      <c r="Q7" s="19"/>
      <c r="R7" s="18"/>
    </row>
    <row r="8" spans="1:18" x14ac:dyDescent="0.4">
      <c r="D8" t="s">
        <v>75</v>
      </c>
      <c r="E8" t="s">
        <v>76</v>
      </c>
      <c r="F8" t="s">
        <v>77</v>
      </c>
      <c r="G8" t="s">
        <v>58</v>
      </c>
      <c r="H8" t="s">
        <v>59</v>
      </c>
      <c r="I8" t="s">
        <v>60</v>
      </c>
      <c r="P8" s="18"/>
      <c r="Q8" s="19"/>
      <c r="R8" s="18"/>
    </row>
    <row r="9" spans="1:18" x14ac:dyDescent="0.4">
      <c r="B9">
        <v>0</v>
      </c>
      <c r="C9">
        <v>0</v>
      </c>
      <c r="D9" t="s">
        <v>80</v>
      </c>
      <c r="E9">
        <v>2</v>
      </c>
      <c r="F9" t="s">
        <v>59</v>
      </c>
      <c r="H9">
        <v>0</v>
      </c>
      <c r="P9" s="18"/>
      <c r="Q9" s="19"/>
      <c r="R9" s="18"/>
    </row>
    <row r="10" spans="1:18" x14ac:dyDescent="0.4">
      <c r="A10" s="53" t="s">
        <v>65</v>
      </c>
      <c r="B10" s="53">
        <v>0</v>
      </c>
      <c r="C10" s="53">
        <v>0</v>
      </c>
      <c r="D10" s="53" t="s">
        <v>79</v>
      </c>
      <c r="E10" s="53">
        <v>2</v>
      </c>
      <c r="F10" s="53" t="s">
        <v>59</v>
      </c>
      <c r="G10" s="53"/>
      <c r="H10" s="53">
        <v>0</v>
      </c>
      <c r="I10" s="53"/>
      <c r="J10" s="53"/>
      <c r="P10" s="18"/>
      <c r="Q10" s="19"/>
      <c r="R10" s="18"/>
    </row>
    <row r="11" spans="1:18" x14ac:dyDescent="0.4">
      <c r="A11" s="105" t="s">
        <v>64</v>
      </c>
      <c r="B11" s="53">
        <v>0</v>
      </c>
      <c r="C11" s="53">
        <v>0</v>
      </c>
      <c r="D11" s="53" t="s">
        <v>86</v>
      </c>
      <c r="E11" s="53">
        <v>2</v>
      </c>
      <c r="F11" s="53" t="s">
        <v>59</v>
      </c>
      <c r="G11" s="53"/>
      <c r="H11" s="53">
        <v>0</v>
      </c>
      <c r="I11" s="53"/>
      <c r="J11" s="53"/>
      <c r="P11" s="18"/>
      <c r="Q11" s="19"/>
      <c r="R11" s="18"/>
    </row>
    <row r="12" spans="1:18" x14ac:dyDescent="0.4">
      <c r="A12" s="53" t="s">
        <v>71</v>
      </c>
      <c r="B12" s="53">
        <v>0</v>
      </c>
      <c r="C12" s="53">
        <v>0</v>
      </c>
      <c r="D12" s="53" t="s">
        <v>85</v>
      </c>
      <c r="E12" s="53">
        <v>2</v>
      </c>
      <c r="F12" s="53" t="s">
        <v>59</v>
      </c>
      <c r="G12" s="53"/>
      <c r="H12" s="53">
        <v>0</v>
      </c>
      <c r="I12" s="53"/>
      <c r="J12" s="53"/>
      <c r="P12" s="18"/>
      <c r="Q12" s="19"/>
      <c r="R12" s="18"/>
    </row>
    <row r="13" spans="1:18" x14ac:dyDescent="0.4">
      <c r="A13" s="53" t="s">
        <v>70</v>
      </c>
      <c r="B13" s="53">
        <v>0</v>
      </c>
      <c r="C13" s="53">
        <v>0</v>
      </c>
      <c r="D13" s="53" t="s">
        <v>89</v>
      </c>
      <c r="E13" s="53">
        <v>3</v>
      </c>
      <c r="F13" s="53" t="s">
        <v>60</v>
      </c>
      <c r="G13" s="53"/>
      <c r="H13" s="53"/>
      <c r="I13" s="53">
        <v>0</v>
      </c>
      <c r="J13" s="53"/>
      <c r="P13" s="18"/>
      <c r="Q13" s="19"/>
      <c r="R13" s="18"/>
    </row>
    <row r="14" spans="1:18" x14ac:dyDescent="0.4">
      <c r="A14" s="53" t="s">
        <v>74</v>
      </c>
      <c r="B14" s="53">
        <v>0</v>
      </c>
      <c r="C14" s="53">
        <v>0</v>
      </c>
      <c r="D14" s="53" t="s">
        <v>83</v>
      </c>
      <c r="E14" s="53">
        <v>3</v>
      </c>
      <c r="F14" s="53" t="s">
        <v>60</v>
      </c>
      <c r="G14" s="53"/>
      <c r="H14" s="53"/>
      <c r="I14" s="53">
        <v>0</v>
      </c>
      <c r="J14" s="53"/>
      <c r="P14" s="18"/>
      <c r="Q14" s="19"/>
      <c r="R14" s="18"/>
    </row>
    <row r="15" spans="1:18" x14ac:dyDescent="0.4">
      <c r="A15" s="53" t="s">
        <v>68</v>
      </c>
      <c r="B15" s="53">
        <v>0</v>
      </c>
      <c r="C15" s="53">
        <v>0</v>
      </c>
      <c r="D15" s="53" t="s">
        <v>88</v>
      </c>
      <c r="E15" s="53">
        <v>3</v>
      </c>
      <c r="F15" s="53" t="s">
        <v>60</v>
      </c>
      <c r="G15" s="53"/>
      <c r="H15" s="53"/>
      <c r="I15" s="53">
        <v>0</v>
      </c>
      <c r="J15" s="53"/>
      <c r="P15" s="18"/>
      <c r="Q15" s="19"/>
      <c r="R15" s="18"/>
    </row>
    <row r="16" spans="1:18" x14ac:dyDescent="0.4">
      <c r="A16" s="53" t="s">
        <v>73</v>
      </c>
      <c r="B16" s="53">
        <v>0</v>
      </c>
      <c r="C16" s="53">
        <v>0</v>
      </c>
      <c r="D16" s="53" t="s">
        <v>87</v>
      </c>
      <c r="E16" s="53">
        <v>3</v>
      </c>
      <c r="F16" s="53" t="s">
        <v>60</v>
      </c>
      <c r="G16" s="53"/>
      <c r="H16" s="53"/>
      <c r="I16" s="53">
        <v>0</v>
      </c>
      <c r="J16" s="53"/>
      <c r="P16" s="18"/>
      <c r="Q16" s="19"/>
      <c r="R16" s="18"/>
    </row>
    <row r="17" spans="1:18" x14ac:dyDescent="0.4">
      <c r="A17" s="53" t="s">
        <v>72</v>
      </c>
      <c r="B17" s="53">
        <v>0</v>
      </c>
      <c r="C17" s="53">
        <v>0</v>
      </c>
      <c r="D17" s="53" t="s">
        <v>81</v>
      </c>
      <c r="E17" s="53">
        <v>1</v>
      </c>
      <c r="F17" s="53" t="s">
        <v>58</v>
      </c>
      <c r="G17" s="53">
        <v>0</v>
      </c>
      <c r="H17" s="53"/>
      <c r="I17" s="53"/>
      <c r="J17" s="53"/>
      <c r="P17" s="18"/>
      <c r="Q17" s="19"/>
      <c r="R17" s="18"/>
    </row>
    <row r="18" spans="1:18" x14ac:dyDescent="0.4">
      <c r="A18" s="53" t="s">
        <v>66</v>
      </c>
      <c r="B18" s="53">
        <v>0</v>
      </c>
      <c r="C18" s="53">
        <v>0</v>
      </c>
      <c r="D18" s="53" t="s">
        <v>169</v>
      </c>
      <c r="E18" s="53">
        <v>1</v>
      </c>
      <c r="F18" s="53" t="s">
        <v>58</v>
      </c>
      <c r="G18" s="53">
        <v>0</v>
      </c>
      <c r="H18" s="53"/>
      <c r="I18" s="53"/>
      <c r="J18" s="53"/>
      <c r="P18" s="18"/>
      <c r="Q18" s="19"/>
      <c r="R18" s="18"/>
    </row>
    <row r="19" spans="1:18" x14ac:dyDescent="0.4">
      <c r="A19" s="105" t="s">
        <v>62</v>
      </c>
      <c r="B19" s="53">
        <v>0</v>
      </c>
      <c r="C19" s="53">
        <v>0</v>
      </c>
      <c r="D19" s="53" t="s">
        <v>78</v>
      </c>
      <c r="E19" s="53">
        <v>1</v>
      </c>
      <c r="F19" s="53" t="s">
        <v>58</v>
      </c>
      <c r="G19" s="53">
        <v>0</v>
      </c>
      <c r="H19" s="53"/>
      <c r="I19" s="53"/>
      <c r="J19" s="53"/>
      <c r="P19" s="18"/>
      <c r="Q19" s="19"/>
      <c r="R19" s="18"/>
    </row>
    <row r="20" spans="1:18" x14ac:dyDescent="0.4">
      <c r="A20" s="53" t="s">
        <v>63</v>
      </c>
      <c r="B20" s="53">
        <v>0</v>
      </c>
      <c r="C20" s="53">
        <v>0</v>
      </c>
      <c r="D20" s="53" t="s">
        <v>82</v>
      </c>
      <c r="E20" s="53">
        <v>1</v>
      </c>
      <c r="F20" s="53" t="s">
        <v>58</v>
      </c>
      <c r="G20" s="53">
        <v>0</v>
      </c>
      <c r="H20" s="53"/>
      <c r="I20" s="53"/>
      <c r="J20" s="53"/>
      <c r="P20" s="18"/>
      <c r="Q20" s="19"/>
      <c r="R20" s="18"/>
    </row>
    <row r="21" spans="1:18" x14ac:dyDescent="0.4">
      <c r="A21" s="53" t="s">
        <v>67</v>
      </c>
      <c r="B21" s="53">
        <v>0</v>
      </c>
      <c r="C21" s="53">
        <v>0</v>
      </c>
      <c r="D21" s="53" t="s">
        <v>84</v>
      </c>
      <c r="E21" s="53">
        <v>1</v>
      </c>
      <c r="F21" s="53" t="s">
        <v>58</v>
      </c>
      <c r="G21" s="53">
        <v>0</v>
      </c>
      <c r="H21" s="53"/>
      <c r="I21" s="53"/>
      <c r="J21" s="53"/>
      <c r="P21" s="18"/>
      <c r="Q21" s="19"/>
      <c r="R21" s="18"/>
    </row>
    <row r="22" spans="1:18" x14ac:dyDescent="0.4">
      <c r="A22" s="53" t="s">
        <v>69</v>
      </c>
      <c r="B22" s="53">
        <v>0</v>
      </c>
      <c r="C22" s="53">
        <v>0</v>
      </c>
      <c r="D22" s="53" t="s">
        <v>85</v>
      </c>
      <c r="E22" s="53">
        <v>2</v>
      </c>
      <c r="F22" s="53" t="s">
        <v>59</v>
      </c>
      <c r="G22" s="53"/>
      <c r="H22" s="53">
        <v>11.741769456232131</v>
      </c>
      <c r="I22" s="53"/>
      <c r="J22" s="53"/>
      <c r="P22" s="18"/>
      <c r="Q22" s="19"/>
      <c r="R22" s="18"/>
    </row>
    <row r="23" spans="1:18" x14ac:dyDescent="0.4">
      <c r="A23" s="53" t="s">
        <v>61</v>
      </c>
      <c r="B23" s="53">
        <v>0.40595025538569068</v>
      </c>
      <c r="C23" s="53">
        <v>0.41353835462375965</v>
      </c>
      <c r="D23" s="53"/>
      <c r="E23" s="53"/>
      <c r="F23" s="53"/>
      <c r="G23" s="53"/>
      <c r="H23" s="53"/>
      <c r="I23" s="53"/>
      <c r="J23" s="53"/>
      <c r="P23" s="18"/>
      <c r="Q23" s="25" t="s">
        <v>100</v>
      </c>
      <c r="R23" s="18"/>
    </row>
    <row r="24" spans="1:18" ht="17.149999999999999" x14ac:dyDescent="0.4">
      <c r="P24" s="18"/>
      <c r="Q24" s="86" t="s">
        <v>54</v>
      </c>
      <c r="R24" s="18"/>
    </row>
    <row r="25" spans="1:18" x14ac:dyDescent="0.4">
      <c r="P25" s="18"/>
      <c r="Q25" s="18"/>
      <c r="R25" s="18"/>
    </row>
    <row r="26" spans="1:18" x14ac:dyDescent="0.4">
      <c r="P26" s="18"/>
      <c r="Q26" s="51" t="s">
        <v>43</v>
      </c>
      <c r="R26" s="18"/>
    </row>
    <row r="27" spans="1:18" ht="15.45" x14ac:dyDescent="0.4">
      <c r="P27" s="18"/>
      <c r="Q27" s="67"/>
      <c r="R27" s="18"/>
    </row>
    <row r="28" spans="1:18" x14ac:dyDescent="0.4">
      <c r="P28" s="18"/>
      <c r="Q28" s="68"/>
      <c r="R28" s="18"/>
    </row>
    <row r="29" spans="1:18" x14ac:dyDescent="0.4">
      <c r="P29" s="18"/>
      <c r="Q29" s="19"/>
      <c r="R29" s="18"/>
    </row>
    <row r="30" spans="1:18" x14ac:dyDescent="0.4">
      <c r="P30" s="18"/>
      <c r="Q30" s="19"/>
      <c r="R30" s="18"/>
    </row>
    <row r="31" spans="1:18" x14ac:dyDescent="0.4">
      <c r="P31" s="18"/>
      <c r="Q31" s="19"/>
      <c r="R31" s="18"/>
    </row>
    <row r="32" spans="1:18" x14ac:dyDescent="0.4">
      <c r="P32" s="18"/>
      <c r="Q32" s="19"/>
      <c r="R32" s="18"/>
    </row>
    <row r="33" spans="16:18" x14ac:dyDescent="0.4">
      <c r="P33" s="18"/>
      <c r="Q33" s="19"/>
      <c r="R33" s="18"/>
    </row>
    <row r="34" spans="16:18" x14ac:dyDescent="0.4">
      <c r="P34" s="18"/>
      <c r="Q34" s="19"/>
      <c r="R34" s="18"/>
    </row>
    <row r="35" spans="16:18" x14ac:dyDescent="0.4">
      <c r="P35" s="18"/>
      <c r="Q35" s="19"/>
      <c r="R35" s="18"/>
    </row>
    <row r="36" spans="16:18" x14ac:dyDescent="0.4">
      <c r="P36" s="18"/>
      <c r="Q36" s="19"/>
      <c r="R36" s="18"/>
    </row>
    <row r="37" spans="16:18" x14ac:dyDescent="0.4">
      <c r="P37" s="18"/>
      <c r="Q37" s="19"/>
      <c r="R37" s="18"/>
    </row>
    <row r="38" spans="16:18" x14ac:dyDescent="0.4">
      <c r="P38" s="18"/>
      <c r="Q38" s="19"/>
      <c r="R38" s="18"/>
    </row>
    <row r="39" spans="16:18" x14ac:dyDescent="0.4">
      <c r="P39" s="18"/>
      <c r="Q39" s="19"/>
      <c r="R39" s="18"/>
    </row>
    <row r="40" spans="16:18" x14ac:dyDescent="0.4">
      <c r="P40" s="18"/>
      <c r="Q40" s="19"/>
      <c r="R40" s="18"/>
    </row>
    <row r="41" spans="16:18" x14ac:dyDescent="0.4">
      <c r="P41" s="18"/>
      <c r="Q41" s="19"/>
      <c r="R41" s="18"/>
    </row>
    <row r="42" spans="16:18" x14ac:dyDescent="0.4">
      <c r="P42" s="18"/>
      <c r="Q42" s="19"/>
      <c r="R42" s="18"/>
    </row>
    <row r="43" spans="16:18" x14ac:dyDescent="0.4">
      <c r="P43" s="18"/>
      <c r="Q43" s="19"/>
      <c r="R43" s="18"/>
    </row>
    <row r="44" spans="16:18" x14ac:dyDescent="0.4">
      <c r="P44" s="18"/>
      <c r="Q44" s="19"/>
      <c r="R44" s="18"/>
    </row>
    <row r="45" spans="16:18" x14ac:dyDescent="0.4">
      <c r="P45" s="18"/>
      <c r="Q45" s="19"/>
      <c r="R45" s="18"/>
    </row>
    <row r="46" spans="16:18" x14ac:dyDescent="0.4">
      <c r="P46" s="18"/>
      <c r="Q46" s="19"/>
      <c r="R46" s="18"/>
    </row>
    <row r="47" spans="16:18" x14ac:dyDescent="0.4">
      <c r="P47" s="18"/>
      <c r="Q47" s="19"/>
      <c r="R47" s="18"/>
    </row>
    <row r="48" spans="16:18" x14ac:dyDescent="0.4">
      <c r="P48" s="18"/>
      <c r="Q48" s="25" t="s">
        <v>100</v>
      </c>
      <c r="R48" s="18"/>
    </row>
    <row r="49" spans="16:18" ht="17.149999999999999" x14ac:dyDescent="0.4">
      <c r="P49" s="18"/>
      <c r="Q49" s="86" t="s">
        <v>54</v>
      </c>
      <c r="R49" s="18"/>
    </row>
    <row r="50" spans="16:18" x14ac:dyDescent="0.4">
      <c r="P50" s="18"/>
      <c r="Q50" s="18"/>
      <c r="R50" s="18"/>
    </row>
    <row r="51" spans="16:18" x14ac:dyDescent="0.4">
      <c r="P51" s="18"/>
      <c r="Q51" s="18"/>
      <c r="R51" s="18"/>
    </row>
    <row r="66" spans="1:23" x14ac:dyDescent="0.4">
      <c r="P66" s="18"/>
      <c r="Q66" s="18"/>
      <c r="R66" s="18"/>
    </row>
    <row r="67" spans="1:23" x14ac:dyDescent="0.4">
      <c r="P67" s="81"/>
      <c r="Q67" s="51" t="s">
        <v>51</v>
      </c>
      <c r="R67" s="81"/>
    </row>
    <row r="68" spans="1:23" ht="15.45" x14ac:dyDescent="0.4">
      <c r="P68" s="81"/>
      <c r="Q68" s="67" t="s">
        <v>53</v>
      </c>
      <c r="R68" s="81"/>
    </row>
    <row r="69" spans="1:23" x14ac:dyDescent="0.4">
      <c r="P69" s="81"/>
      <c r="Q69" s="68" t="s">
        <v>52</v>
      </c>
      <c r="R69" s="81"/>
    </row>
    <row r="70" spans="1:23" x14ac:dyDescent="0.4">
      <c r="P70" s="81"/>
      <c r="Q70" s="19"/>
      <c r="R70" s="81"/>
    </row>
    <row r="71" spans="1:23" ht="18" thickBot="1" x14ac:dyDescent="0.45">
      <c r="A71" s="19"/>
      <c r="B71" s="19"/>
      <c r="C71" s="19"/>
      <c r="D71" s="8"/>
      <c r="E71" s="8"/>
      <c r="F71" s="8"/>
      <c r="G71" s="8"/>
      <c r="H71" s="8"/>
      <c r="I71" s="8"/>
      <c r="J71" s="8"/>
      <c r="K71" s="8"/>
      <c r="L71" s="8"/>
      <c r="M71" s="19"/>
      <c r="N71" s="19"/>
      <c r="O71" s="19"/>
      <c r="P71" s="81"/>
      <c r="Q71" s="19"/>
      <c r="R71" s="81"/>
      <c r="U71" s="19"/>
      <c r="V71" s="19"/>
      <c r="W71" s="19"/>
    </row>
    <row r="72" spans="1:23" x14ac:dyDescent="0.4">
      <c r="A72" s="19"/>
      <c r="B72" s="19"/>
      <c r="C72" s="19"/>
      <c r="G72" s="70"/>
      <c r="H72" s="71"/>
      <c r="I72" s="71"/>
      <c r="J72" s="71"/>
      <c r="K72" s="71"/>
      <c r="L72" s="71"/>
      <c r="M72" s="71"/>
      <c r="N72" s="72"/>
      <c r="P72" s="81"/>
      <c r="Q72" s="19"/>
      <c r="R72" s="81"/>
      <c r="U72" s="19"/>
      <c r="V72" s="19"/>
      <c r="W72" s="19"/>
    </row>
    <row r="73" spans="1:23" x14ac:dyDescent="0.4">
      <c r="A73" s="19"/>
      <c r="G73" s="75" t="s">
        <v>47</v>
      </c>
      <c r="H73" s="19"/>
      <c r="I73" s="19"/>
      <c r="J73" s="19"/>
      <c r="K73" s="19"/>
      <c r="L73" s="19"/>
      <c r="M73" s="19"/>
      <c r="N73" s="74"/>
      <c r="P73" s="81"/>
      <c r="Q73" s="19"/>
      <c r="R73" s="81"/>
      <c r="U73" s="19"/>
      <c r="V73" s="19"/>
      <c r="W73" s="19"/>
    </row>
    <row r="74" spans="1:23" x14ac:dyDescent="0.4">
      <c r="A74" s="87"/>
      <c r="G74" s="73" t="s">
        <v>48</v>
      </c>
      <c r="H74" s="88" t="s">
        <v>16</v>
      </c>
      <c r="I74" s="19"/>
      <c r="J74" s="19"/>
      <c r="K74" s="19"/>
      <c r="L74" s="19"/>
      <c r="M74" s="19"/>
      <c r="N74" s="74"/>
      <c r="P74" s="81"/>
      <c r="Q74" s="19"/>
      <c r="R74" s="81"/>
      <c r="U74" s="19"/>
      <c r="V74" s="19"/>
      <c r="W74" s="19"/>
    </row>
    <row r="75" spans="1:23" x14ac:dyDescent="0.4">
      <c r="A75" s="19"/>
      <c r="G75" s="73" t="s">
        <v>1</v>
      </c>
      <c r="H75" s="89">
        <v>45546</v>
      </c>
      <c r="I75" s="19"/>
      <c r="J75" s="19"/>
      <c r="K75" s="19"/>
      <c r="L75" s="19"/>
      <c r="M75" s="19"/>
      <c r="N75" s="74"/>
      <c r="P75" s="81"/>
      <c r="Q75" s="19"/>
      <c r="R75" s="81"/>
      <c r="U75" s="19"/>
      <c r="V75" s="19"/>
      <c r="W75" s="19"/>
    </row>
    <row r="76" spans="1:23" x14ac:dyDescent="0.4">
      <c r="A76" s="19"/>
      <c r="G76" s="73" t="s">
        <v>49</v>
      </c>
      <c r="H76" s="89">
        <v>45547</v>
      </c>
      <c r="I76" s="19"/>
      <c r="J76" s="19"/>
      <c r="K76" s="19"/>
      <c r="L76" s="19"/>
      <c r="M76" s="19"/>
      <c r="N76" s="74"/>
      <c r="P76" s="81"/>
      <c r="Q76" s="19"/>
      <c r="R76" s="81"/>
      <c r="U76" s="19"/>
      <c r="V76" s="19"/>
      <c r="W76" s="19"/>
    </row>
    <row r="77" spans="1:23" x14ac:dyDescent="0.4">
      <c r="A77" s="19"/>
      <c r="G77" s="73"/>
      <c r="H77" s="19"/>
      <c r="I77" s="19"/>
      <c r="J77" s="99" t="str">
        <f ca="1">CHAR(64+MATCH(J78,INDIRECT("'"&amp;$H$74&amp;"'!"&amp;"A1:AA1"),0))</f>
        <v>L</v>
      </c>
      <c r="K77" s="99" t="str">
        <f ca="1">CHAR(64+MATCH(K78,INDIRECT("'"&amp;$H$74&amp;"'!"&amp;"A1:AA1"),0))</f>
        <v>M</v>
      </c>
      <c r="L77" s="99" t="str">
        <f ca="1">CHAR(64+MATCH(L78,INDIRECT("'"&amp;$H$74&amp;"'!"&amp;"A1:AA1"),0))</f>
        <v>N</v>
      </c>
      <c r="M77" s="99" t="str">
        <f ca="1">CHAR(64+MATCH(M78,INDIRECT("'"&amp;$H$74&amp;"'!"&amp;"A1:AA1"),0))</f>
        <v>O</v>
      </c>
      <c r="N77" s="101"/>
      <c r="P77" s="81"/>
      <c r="Q77" s="19"/>
      <c r="R77" s="81"/>
      <c r="U77" s="19"/>
      <c r="V77" s="19"/>
      <c r="W77" s="19"/>
    </row>
    <row r="78" spans="1:23" x14ac:dyDescent="0.4">
      <c r="A78" s="19"/>
      <c r="G78" s="95"/>
      <c r="H78" s="91" t="str">
        <f>_xlfn.CONCAT("DFM ","(",H74,")")</f>
        <v>DFM (2023Q4)</v>
      </c>
      <c r="I78" s="90"/>
      <c r="J78" s="92" t="s">
        <v>58</v>
      </c>
      <c r="K78" s="92" t="s">
        <v>59</v>
      </c>
      <c r="L78" s="92" t="s">
        <v>60</v>
      </c>
      <c r="M78" s="92" t="s">
        <v>55</v>
      </c>
      <c r="N78" s="96"/>
      <c r="P78" s="81"/>
      <c r="Q78" s="19"/>
      <c r="R78" s="81"/>
      <c r="U78" s="19"/>
      <c r="V78" s="19"/>
      <c r="W78" s="19"/>
    </row>
    <row r="79" spans="1:23" x14ac:dyDescent="0.4">
      <c r="A79" s="19"/>
      <c r="G79" s="97">
        <f>H75</f>
        <v>45546</v>
      </c>
      <c r="H79" s="93" cm="1">
        <f t="array" aca="1" ref="H79" ca="1">INDIRECT("'"&amp;H74&amp;"'!B"&amp;MATCH(H75,INDIRECT("'"&amp;H74&amp;"'!"&amp;"A1:A1000"),0))</f>
        <v>0.82494411288715996</v>
      </c>
      <c r="I79" s="94"/>
      <c r="J79" s="94"/>
      <c r="K79" s="94"/>
      <c r="L79" s="94"/>
      <c r="M79" s="94"/>
      <c r="N79" s="98"/>
      <c r="P79" s="81"/>
      <c r="Q79" s="19"/>
      <c r="R79" s="81"/>
      <c r="U79" s="19"/>
      <c r="V79" s="19"/>
      <c r="W79" s="19"/>
    </row>
    <row r="80" spans="1:23" x14ac:dyDescent="0.4">
      <c r="A80" s="19"/>
      <c r="G80" s="97">
        <f>H76</f>
        <v>45547</v>
      </c>
      <c r="H80" s="93" cm="1">
        <f t="array" aca="1" ref="H80" ca="1">INDIRECT("'"&amp;H74&amp;"'!B"&amp;MATCH(H76,INDIRECT("'"&amp;H74&amp;"'!"&amp;"A1:A1000"),0))</f>
        <v>0.55540442232637477</v>
      </c>
      <c r="I80" s="94"/>
      <c r="J80" s="100">
        <f ca="1">SUM(INDIRECT("'"&amp;$H$74&amp;"'!"&amp;J77&amp;MATCH($H$75,INDIRECT("'"&amp;$H$74&amp;"'!"&amp;"A1:A1000"),0)):INDIRECT("'"&amp;$H$74&amp;"'!"&amp;J77&amp;MATCH($H$76,INDIRECT("'"&amp;$H$74&amp;"'!"&amp;"A1:A1000"),0)))</f>
        <v>-0.18783712483857981</v>
      </c>
      <c r="K80" s="100">
        <f ca="1">SUM(INDIRECT("'"&amp;$H$74&amp;"'!"&amp;K77&amp;MATCH($H$75,INDIRECT("'"&amp;$H$74&amp;"'!"&amp;"A1:A1000"),0)):INDIRECT("'"&amp;$H$74&amp;"'!"&amp;K77&amp;MATCH($H$76,INDIRECT("'"&amp;$H$74&amp;"'!"&amp;"A1:A1000"),0)))</f>
        <v>-3.3882510160861599E-2</v>
      </c>
      <c r="L80" s="100">
        <f ca="1">SUM(INDIRECT("'"&amp;$H$74&amp;"'!"&amp;L77&amp;MATCH($H$75,INDIRECT("'"&amp;$H$74&amp;"'!"&amp;"A1:A1000"),0)):INDIRECT("'"&amp;$H$74&amp;"'!"&amp;L77&amp;MATCH($H$76,INDIRECT("'"&amp;$H$74&amp;"'!"&amp;"A1:A1000"),0)))</f>
        <v>-5.8916918082321544E-2</v>
      </c>
      <c r="M80" s="100">
        <f ca="1">SUM(INDIRECT("'"&amp;$H$74&amp;"'!"&amp;M77&amp;MATCH($H$75,INDIRECT("'"&amp;$H$74&amp;"'!"&amp;"A1:A1000"),0)):INDIRECT("'"&amp;$H$74&amp;"'!"&amp;M77&amp;MATCH($H$76,INDIRECT("'"&amp;$H$74&amp;"'!"&amp;"A1:A1000"),0)))</f>
        <v>1.1096862520975859E-2</v>
      </c>
      <c r="N80" s="102"/>
      <c r="O80" s="85" t="s">
        <v>50</v>
      </c>
      <c r="P80" s="82"/>
      <c r="Q80" s="19"/>
      <c r="R80" s="81"/>
      <c r="U80" s="19"/>
      <c r="V80" s="19"/>
      <c r="W80" s="19"/>
    </row>
    <row r="81" spans="1:23" ht="15" thickBot="1" x14ac:dyDescent="0.45">
      <c r="A81" s="19"/>
      <c r="B81" s="19"/>
      <c r="C81" s="19"/>
      <c r="G81" s="76"/>
      <c r="H81" s="77"/>
      <c r="I81" s="77"/>
      <c r="J81" s="77"/>
      <c r="K81" s="77"/>
      <c r="L81" s="77"/>
      <c r="M81" s="77"/>
      <c r="N81" s="78"/>
      <c r="P81" s="81"/>
      <c r="Q81" s="19"/>
      <c r="R81" s="81"/>
      <c r="U81" s="19"/>
      <c r="V81" s="19"/>
      <c r="W81" s="19"/>
    </row>
    <row r="82" spans="1:23" x14ac:dyDescent="0.4">
      <c r="A82" s="19"/>
      <c r="B82" s="19"/>
      <c r="C82" s="19"/>
      <c r="D82" s="19"/>
      <c r="E82" s="19"/>
      <c r="F82" s="19"/>
      <c r="G82" s="19"/>
      <c r="H82" s="19"/>
      <c r="I82" s="19"/>
      <c r="J82" s="19"/>
      <c r="K82" s="19"/>
      <c r="L82" s="19"/>
      <c r="M82" s="19"/>
      <c r="N82" s="19"/>
      <c r="O82" s="19"/>
      <c r="P82" s="81"/>
      <c r="Q82" s="19"/>
      <c r="R82" s="81"/>
      <c r="U82" s="19"/>
      <c r="V82" s="19"/>
      <c r="W82" s="19"/>
    </row>
    <row r="83" spans="1:23" x14ac:dyDescent="0.4">
      <c r="A83" s="19"/>
      <c r="B83" s="19"/>
      <c r="C83" s="19"/>
      <c r="D83" s="19"/>
      <c r="E83" s="19"/>
      <c r="F83" s="19"/>
      <c r="G83" s="19"/>
      <c r="H83" s="19"/>
      <c r="I83" s="19"/>
      <c r="J83" s="19"/>
      <c r="K83" s="19"/>
      <c r="L83" s="19"/>
      <c r="M83" s="19"/>
      <c r="N83" s="19"/>
      <c r="O83" s="19"/>
      <c r="P83" s="81"/>
      <c r="Q83" s="19"/>
      <c r="R83" s="81"/>
      <c r="U83" s="19"/>
      <c r="V83" s="19"/>
      <c r="W83" s="19"/>
    </row>
    <row r="84" spans="1:23" x14ac:dyDescent="0.4">
      <c r="A84" s="19"/>
      <c r="B84" s="19"/>
      <c r="C84" s="19"/>
      <c r="D84" s="19"/>
      <c r="E84" s="19"/>
      <c r="F84" s="19"/>
      <c r="G84" s="19"/>
      <c r="H84" s="19"/>
      <c r="I84" s="19"/>
      <c r="J84" s="19"/>
      <c r="K84" s="19"/>
      <c r="L84" s="19"/>
      <c r="M84" s="19"/>
      <c r="N84" s="19"/>
      <c r="O84" s="19"/>
      <c r="P84" s="81"/>
      <c r="Q84" s="19"/>
      <c r="R84" s="81"/>
      <c r="U84" s="19"/>
      <c r="V84" s="19"/>
      <c r="W84" s="19"/>
    </row>
    <row r="85" spans="1:23" x14ac:dyDescent="0.4">
      <c r="A85" s="19"/>
      <c r="B85" s="19"/>
      <c r="C85" s="19"/>
      <c r="D85" s="19"/>
      <c r="E85" s="19"/>
      <c r="F85" s="19"/>
      <c r="G85" s="19"/>
      <c r="H85" s="19"/>
      <c r="I85" s="19"/>
      <c r="J85" s="19"/>
      <c r="K85" s="19"/>
      <c r="L85" s="19"/>
      <c r="M85" s="19"/>
      <c r="N85" s="19"/>
      <c r="O85" s="19"/>
      <c r="P85" s="81"/>
      <c r="Q85" s="19"/>
      <c r="R85" s="81"/>
      <c r="U85" s="19"/>
      <c r="V85" s="19"/>
      <c r="W85" s="19"/>
    </row>
    <row r="86" spans="1:23" x14ac:dyDescent="0.4">
      <c r="A86" s="19"/>
      <c r="B86" s="19"/>
      <c r="C86" s="19"/>
      <c r="D86" s="19"/>
      <c r="E86" s="19"/>
      <c r="F86" s="19"/>
      <c r="G86" s="19"/>
      <c r="H86" s="19"/>
      <c r="I86" s="19"/>
      <c r="J86" s="19"/>
      <c r="K86" s="19"/>
      <c r="L86" s="19"/>
      <c r="M86" s="19"/>
      <c r="N86" s="19"/>
      <c r="O86" s="19"/>
      <c r="P86" s="81"/>
      <c r="Q86" s="19"/>
      <c r="R86" s="81"/>
      <c r="U86" s="19"/>
      <c r="V86" s="19"/>
      <c r="W86" s="19"/>
    </row>
    <row r="87" spans="1:23" x14ac:dyDescent="0.4">
      <c r="A87" s="19"/>
      <c r="B87" s="19"/>
      <c r="C87" s="19"/>
      <c r="D87" s="79"/>
      <c r="E87" s="19"/>
      <c r="F87" s="19"/>
      <c r="G87" s="19"/>
      <c r="H87" s="19"/>
      <c r="I87" s="19"/>
      <c r="J87" s="19"/>
      <c r="K87" s="19"/>
      <c r="L87" s="19"/>
      <c r="M87" s="19"/>
      <c r="N87" s="19"/>
      <c r="O87" s="19"/>
      <c r="P87" s="81"/>
      <c r="Q87" s="19"/>
      <c r="R87" s="81"/>
      <c r="U87" s="19"/>
      <c r="V87" s="19"/>
      <c r="W87" s="19"/>
    </row>
    <row r="88" spans="1:23" x14ac:dyDescent="0.4">
      <c r="A88" s="19"/>
      <c r="B88" s="19"/>
      <c r="C88" s="19"/>
      <c r="D88" s="19"/>
      <c r="E88" s="79"/>
      <c r="F88" s="19"/>
      <c r="G88" s="19"/>
      <c r="H88" s="19"/>
      <c r="I88" s="19"/>
      <c r="J88" s="19"/>
      <c r="K88" s="19"/>
      <c r="L88" s="19"/>
      <c r="M88" s="19"/>
      <c r="N88" s="19"/>
      <c r="O88" s="19"/>
      <c r="P88" s="81"/>
      <c r="Q88" s="19"/>
      <c r="R88" s="81"/>
      <c r="U88" s="19"/>
      <c r="V88" s="19"/>
      <c r="W88" s="19"/>
    </row>
    <row r="89" spans="1:23" ht="14.5" customHeight="1" x14ac:dyDescent="0.4">
      <c r="A89" s="19"/>
      <c r="B89" s="19"/>
      <c r="C89" s="19"/>
      <c r="D89" s="19"/>
      <c r="E89" s="79"/>
      <c r="F89" s="19"/>
      <c r="G89" s="19"/>
      <c r="H89" s="19"/>
      <c r="I89" s="19"/>
      <c r="J89" s="19"/>
      <c r="K89" s="19"/>
      <c r="L89" s="19"/>
      <c r="M89" s="19"/>
      <c r="N89" s="19"/>
      <c r="O89" s="19"/>
      <c r="P89" s="81"/>
      <c r="Q89" s="25" t="s">
        <v>100</v>
      </c>
      <c r="R89" s="83"/>
      <c r="S89" s="80"/>
      <c r="T89" s="80"/>
      <c r="U89" s="19"/>
      <c r="V89" s="19"/>
      <c r="W89" s="19"/>
    </row>
    <row r="90" spans="1:23" ht="17.149999999999999" x14ac:dyDescent="0.4">
      <c r="A90" s="19"/>
      <c r="B90" s="19"/>
      <c r="C90" s="19"/>
      <c r="D90" s="19"/>
      <c r="E90" s="19"/>
      <c r="F90" s="19"/>
      <c r="G90" s="19"/>
      <c r="H90" s="19"/>
      <c r="I90" s="19"/>
      <c r="J90" s="19"/>
      <c r="K90" s="19"/>
      <c r="L90" s="19"/>
      <c r="M90" s="19"/>
      <c r="N90" s="19"/>
      <c r="O90" s="19"/>
      <c r="P90" s="81"/>
      <c r="Q90" s="84" t="s">
        <v>112</v>
      </c>
      <c r="R90" s="81"/>
      <c r="U90" s="19"/>
      <c r="V90" s="19"/>
      <c r="W90" s="19"/>
    </row>
    <row r="91" spans="1:23" x14ac:dyDescent="0.4">
      <c r="A91" s="19"/>
      <c r="B91" s="19"/>
      <c r="C91" s="19"/>
      <c r="D91" s="19"/>
      <c r="E91" s="79"/>
      <c r="F91" s="19"/>
      <c r="G91" s="19"/>
      <c r="H91" s="19"/>
      <c r="I91" s="19"/>
      <c r="J91" s="19"/>
      <c r="K91" s="19"/>
      <c r="L91" s="19"/>
      <c r="M91" s="19"/>
      <c r="N91" s="19"/>
      <c r="O91" s="19"/>
      <c r="P91" s="81"/>
      <c r="Q91" s="81"/>
      <c r="R91" s="81"/>
      <c r="U91" s="19"/>
      <c r="V91" s="19"/>
      <c r="W91" s="19"/>
    </row>
    <row r="92" spans="1:23" x14ac:dyDescent="0.4">
      <c r="A92" s="19"/>
      <c r="B92" s="19"/>
      <c r="C92" s="19"/>
      <c r="D92" s="19"/>
      <c r="E92" s="19"/>
      <c r="F92" s="19"/>
      <c r="G92" s="19"/>
      <c r="H92" s="19"/>
      <c r="I92" s="19"/>
      <c r="J92" s="19"/>
      <c r="K92" s="19"/>
      <c r="L92" s="19"/>
      <c r="M92" s="19"/>
      <c r="N92" s="19"/>
      <c r="O92" s="19"/>
      <c r="U92" s="19"/>
      <c r="V92" s="19"/>
      <c r="W92" s="19"/>
    </row>
    <row r="93" spans="1:23" x14ac:dyDescent="0.4">
      <c r="U93" s="19"/>
      <c r="V93" s="19"/>
      <c r="W93" s="19"/>
    </row>
    <row r="94" spans="1:23" x14ac:dyDescent="0.4">
      <c r="U94" s="19"/>
      <c r="V94" s="19"/>
      <c r="W94" s="19"/>
    </row>
    <row r="95" spans="1:23" x14ac:dyDescent="0.4">
      <c r="U95" s="19"/>
      <c r="V95" s="19"/>
      <c r="W95" s="19"/>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8E4FB-368A-4C5E-A56F-599B0C6D8A44}">
  <dimension ref="A1:BB37"/>
  <sheetViews>
    <sheetView showGridLines="0" zoomScale="55" zoomScaleNormal="55" workbookViewId="0">
      <selection activeCell="I37" sqref="I37:J37"/>
    </sheetView>
  </sheetViews>
  <sheetFormatPr defaultRowHeight="14.6" x14ac:dyDescent="0.4"/>
  <cols>
    <col min="1" max="11" width="9.53515625" customWidth="1"/>
    <col min="12" max="12" width="14.61328125" customWidth="1"/>
    <col min="13" max="13" width="14" customWidth="1"/>
    <col min="14" max="15" width="23.61328125" customWidth="1"/>
    <col min="16" max="16" width="7.765625" customWidth="1"/>
    <col min="17" max="17" width="15" customWidth="1"/>
    <col min="18" max="18" width="14" customWidth="1"/>
    <col min="19" max="19" width="8.765625" customWidth="1"/>
    <col min="20" max="20" width="7.765625" customWidth="1"/>
    <col min="21" max="21" width="8.765625" customWidth="1"/>
    <col min="22" max="22" width="14.61328125" customWidth="1"/>
    <col min="23" max="23" width="7.765625" customWidth="1"/>
    <col min="24" max="24" width="14.61328125" customWidth="1"/>
    <col min="25" max="25" width="16.61328125" customWidth="1"/>
    <col min="26" max="26" width="14.61328125" customWidth="1"/>
    <col min="27" max="28" width="8.765625" customWidth="1"/>
    <col min="29" max="29" width="11.69140625" customWidth="1"/>
    <col min="30" max="52" width="9.53515625" customWidth="1"/>
    <col min="53" max="53" width="57.53515625" customWidth="1"/>
  </cols>
  <sheetData>
    <row r="1" spans="1:54" x14ac:dyDescent="0.4">
      <c r="A1" s="27" t="s">
        <v>0</v>
      </c>
      <c r="B1" s="27" t="s">
        <v>105</v>
      </c>
      <c r="C1" s="27" t="s">
        <v>106</v>
      </c>
      <c r="D1" s="27" t="s">
        <v>107</v>
      </c>
      <c r="E1" s="27" t="s">
        <v>108</v>
      </c>
      <c r="F1" s="27" t="s">
        <v>109</v>
      </c>
      <c r="G1" s="27" t="s">
        <v>110</v>
      </c>
      <c r="H1" s="27" t="s">
        <v>15</v>
      </c>
      <c r="I1" s="27" t="s">
        <v>111</v>
      </c>
      <c r="J1" s="27" t="s">
        <v>1</v>
      </c>
      <c r="L1" s="27" t="s">
        <v>58</v>
      </c>
      <c r="M1" s="27" t="s">
        <v>59</v>
      </c>
      <c r="N1" s="27" t="s">
        <v>60</v>
      </c>
      <c r="O1" t="s">
        <v>55</v>
      </c>
      <c r="Q1" s="27" t="s">
        <v>62</v>
      </c>
      <c r="R1" s="27" t="s">
        <v>68</v>
      </c>
      <c r="S1" s="27" t="s">
        <v>63</v>
      </c>
      <c r="T1" s="27" t="s">
        <v>65</v>
      </c>
      <c r="U1" s="27" t="s">
        <v>67</v>
      </c>
      <c r="V1" s="27" t="s">
        <v>66</v>
      </c>
      <c r="W1" s="27" t="s">
        <v>71</v>
      </c>
      <c r="X1" s="27" t="s">
        <v>69</v>
      </c>
      <c r="Y1" s="27" t="s">
        <v>73</v>
      </c>
      <c r="Z1" s="27" t="s">
        <v>70</v>
      </c>
      <c r="AA1" s="27" t="s">
        <v>64</v>
      </c>
      <c r="AB1" s="27" t="s">
        <v>72</v>
      </c>
      <c r="AC1" s="27" t="s">
        <v>74</v>
      </c>
      <c r="AZ1" s="18"/>
      <c r="BA1" s="18"/>
      <c r="BB1" s="18"/>
    </row>
    <row r="2" spans="1:54" ht="15.45" x14ac:dyDescent="0.4">
      <c r="A2" s="125">
        <v>45546</v>
      </c>
      <c r="B2" s="27">
        <v>0.80642123224726514</v>
      </c>
      <c r="C2" s="126">
        <v>0.28000000000000003</v>
      </c>
      <c r="D2" s="126">
        <v>0.41</v>
      </c>
      <c r="E2" s="27">
        <v>0.36510066156040638</v>
      </c>
      <c r="F2" s="27">
        <v>0.44132057068685876</v>
      </c>
      <c r="G2" s="27">
        <v>1.1715218938076715</v>
      </c>
      <c r="H2" s="27"/>
      <c r="I2" s="125"/>
      <c r="J2" s="27"/>
      <c r="AZ2" s="18"/>
      <c r="BA2" s="67" t="s">
        <v>53</v>
      </c>
      <c r="BB2" s="18"/>
    </row>
    <row r="3" spans="1:54" x14ac:dyDescent="0.4">
      <c r="A3" s="1">
        <v>45547</v>
      </c>
      <c r="B3">
        <v>0.72946351447434843</v>
      </c>
      <c r="C3" s="45">
        <v>0.47</v>
      </c>
      <c r="D3" s="45">
        <v>0.39</v>
      </c>
      <c r="E3">
        <v>0.29114042939643914</v>
      </c>
      <c r="F3">
        <v>0.43832308507790929</v>
      </c>
      <c r="G3">
        <v>1.0206039438707877</v>
      </c>
      <c r="I3" s="1">
        <v>45546</v>
      </c>
      <c r="J3">
        <v>0.80642123224726514</v>
      </c>
      <c r="L3">
        <v>-1.6195448730534318E-2</v>
      </c>
      <c r="M3">
        <v>1.8643842412953936E-2</v>
      </c>
      <c r="N3">
        <v>-8.5966056060282348E-2</v>
      </c>
      <c r="O3">
        <v>6.5599446049549037E-3</v>
      </c>
      <c r="Q3">
        <v>1.1022410964804498E-3</v>
      </c>
      <c r="R3">
        <v>1.7541601316473487E-2</v>
      </c>
      <c r="S3">
        <v>0</v>
      </c>
      <c r="T3">
        <v>0</v>
      </c>
      <c r="U3">
        <v>0</v>
      </c>
      <c r="V3">
        <v>-1.5034788983722673E-2</v>
      </c>
      <c r="W3">
        <v>0</v>
      </c>
      <c r="X3">
        <v>-7.0931267076559681E-2</v>
      </c>
      <c r="Y3">
        <v>-2.1161063746257317E-4</v>
      </c>
      <c r="Z3">
        <v>-1.5983838093071745E-2</v>
      </c>
      <c r="AA3">
        <v>0</v>
      </c>
      <c r="AB3">
        <v>0</v>
      </c>
      <c r="AC3">
        <v>0</v>
      </c>
      <c r="AZ3" s="18"/>
      <c r="BA3" s="68" t="s">
        <v>52</v>
      </c>
      <c r="BB3" s="18"/>
    </row>
    <row r="4" spans="1:54" x14ac:dyDescent="0.4">
      <c r="A4" s="1">
        <v>45979</v>
      </c>
      <c r="B4">
        <v>0.81504087593346108</v>
      </c>
      <c r="C4" s="45">
        <v>0.47</v>
      </c>
      <c r="D4" s="45">
        <v>0.88</v>
      </c>
      <c r="E4">
        <v>0.15</v>
      </c>
      <c r="F4">
        <v>0.66504087593346106</v>
      </c>
      <c r="G4">
        <v>0.96504087593346111</v>
      </c>
      <c r="H4" t="s">
        <v>117</v>
      </c>
      <c r="I4" s="1" t="s">
        <v>118</v>
      </c>
      <c r="J4" t="s">
        <v>118</v>
      </c>
      <c r="L4" t="s">
        <v>58</v>
      </c>
      <c r="M4" t="s">
        <v>59</v>
      </c>
      <c r="N4" t="s">
        <v>60</v>
      </c>
      <c r="O4" t="s">
        <v>55</v>
      </c>
      <c r="P4" t="s">
        <v>15</v>
      </c>
      <c r="Q4" t="s">
        <v>65</v>
      </c>
      <c r="R4" t="s">
        <v>64</v>
      </c>
      <c r="S4" t="s">
        <v>71</v>
      </c>
      <c r="T4" t="s">
        <v>70</v>
      </c>
      <c r="U4" t="s">
        <v>74</v>
      </c>
      <c r="V4" t="s">
        <v>68</v>
      </c>
      <c r="W4" t="s">
        <v>73</v>
      </c>
      <c r="X4" t="s">
        <v>72</v>
      </c>
      <c r="Y4" t="s">
        <v>66</v>
      </c>
      <c r="Z4" t="s">
        <v>62</v>
      </c>
      <c r="AA4" t="s">
        <v>63</v>
      </c>
      <c r="AB4" t="s">
        <v>67</v>
      </c>
      <c r="AC4" t="s">
        <v>69</v>
      </c>
      <c r="AZ4" s="18"/>
      <c r="BA4" s="19"/>
      <c r="BB4" s="18"/>
    </row>
    <row r="5" spans="1:54" x14ac:dyDescent="0.4">
      <c r="A5" s="1">
        <v>45979</v>
      </c>
      <c r="B5">
        <v>0.81504087593346108</v>
      </c>
      <c r="C5" s="45">
        <v>0.47</v>
      </c>
      <c r="D5" s="45">
        <v>0.88</v>
      </c>
      <c r="E5">
        <v>0.15</v>
      </c>
      <c r="F5">
        <v>0.66504087593346106</v>
      </c>
      <c r="G5">
        <v>0.96504087593346111</v>
      </c>
      <c r="H5" t="s">
        <v>117</v>
      </c>
      <c r="I5" s="1" t="s">
        <v>120</v>
      </c>
      <c r="J5" t="s">
        <v>120</v>
      </c>
      <c r="L5" t="s">
        <v>58</v>
      </c>
      <c r="M5" t="s">
        <v>59</v>
      </c>
      <c r="N5" t="s">
        <v>60</v>
      </c>
      <c r="O5" t="s">
        <v>55</v>
      </c>
      <c r="P5" t="s">
        <v>119</v>
      </c>
      <c r="Q5" t="s">
        <v>65</v>
      </c>
      <c r="R5" t="s">
        <v>64</v>
      </c>
      <c r="S5" t="s">
        <v>71</v>
      </c>
      <c r="T5" t="s">
        <v>70</v>
      </c>
      <c r="U5" t="s">
        <v>74</v>
      </c>
      <c r="V5" t="s">
        <v>68</v>
      </c>
      <c r="W5" t="s">
        <v>73</v>
      </c>
      <c r="X5" t="s">
        <v>72</v>
      </c>
      <c r="Y5" t="s">
        <v>66</v>
      </c>
      <c r="Z5" t="s">
        <v>62</v>
      </c>
      <c r="AA5" t="s">
        <v>63</v>
      </c>
      <c r="AB5" t="s">
        <v>67</v>
      </c>
      <c r="AC5" t="s">
        <v>69</v>
      </c>
      <c r="AZ5" s="18"/>
      <c r="BA5" s="19"/>
      <c r="BB5" s="18"/>
    </row>
    <row r="6" spans="1:54" x14ac:dyDescent="0.4">
      <c r="A6" s="1">
        <v>45980</v>
      </c>
      <c r="B6">
        <v>0.48581053785135864</v>
      </c>
      <c r="C6" s="45">
        <v>0.47</v>
      </c>
      <c r="D6" s="45">
        <v>0.88</v>
      </c>
      <c r="E6">
        <v>0.15</v>
      </c>
      <c r="F6">
        <v>0.33581053785135861</v>
      </c>
      <c r="G6">
        <v>0.63581053785135866</v>
      </c>
      <c r="H6" t="s">
        <v>117</v>
      </c>
      <c r="I6" s="1" t="s">
        <v>122</v>
      </c>
      <c r="J6" t="s">
        <v>122</v>
      </c>
      <c r="L6" t="s">
        <v>58</v>
      </c>
      <c r="M6" t="s">
        <v>59</v>
      </c>
      <c r="N6" t="s">
        <v>60</v>
      </c>
      <c r="O6" t="s">
        <v>55</v>
      </c>
      <c r="P6" t="s">
        <v>121</v>
      </c>
      <c r="Q6" t="s">
        <v>65</v>
      </c>
      <c r="R6" t="s">
        <v>64</v>
      </c>
      <c r="S6" t="s">
        <v>71</v>
      </c>
      <c r="T6" t="s">
        <v>70</v>
      </c>
      <c r="U6" t="s">
        <v>74</v>
      </c>
      <c r="V6" t="s">
        <v>68</v>
      </c>
      <c r="W6" t="s">
        <v>73</v>
      </c>
      <c r="X6" t="s">
        <v>72</v>
      </c>
      <c r="Y6" t="s">
        <v>66</v>
      </c>
      <c r="Z6" t="s">
        <v>62</v>
      </c>
      <c r="AA6" t="s">
        <v>63</v>
      </c>
      <c r="AB6" t="s">
        <v>67</v>
      </c>
      <c r="AC6" t="s">
        <v>69</v>
      </c>
      <c r="AZ6" s="18"/>
      <c r="BA6" s="19"/>
      <c r="BB6" s="18"/>
    </row>
    <row r="7" spans="1:54" x14ac:dyDescent="0.4">
      <c r="A7" s="1">
        <v>45980</v>
      </c>
      <c r="B7">
        <v>0.55855463769376468</v>
      </c>
      <c r="C7" s="45">
        <v>0.47</v>
      </c>
      <c r="D7" s="45">
        <v>0.88</v>
      </c>
      <c r="E7">
        <v>0.15</v>
      </c>
      <c r="F7">
        <v>0.40855463769376466</v>
      </c>
      <c r="G7">
        <v>0.7085546376937647</v>
      </c>
      <c r="H7" t="s">
        <v>117</v>
      </c>
      <c r="I7" s="1" t="s">
        <v>124</v>
      </c>
      <c r="J7" t="s">
        <v>124</v>
      </c>
      <c r="L7" t="s">
        <v>58</v>
      </c>
      <c r="M7" t="s">
        <v>59</v>
      </c>
      <c r="N7" t="s">
        <v>60</v>
      </c>
      <c r="O7" t="s">
        <v>55</v>
      </c>
      <c r="P7" t="s">
        <v>123</v>
      </c>
      <c r="Q7" t="s">
        <v>65</v>
      </c>
      <c r="R7" t="s">
        <v>64</v>
      </c>
      <c r="S7" t="s">
        <v>71</v>
      </c>
      <c r="T7" t="s">
        <v>70</v>
      </c>
      <c r="U7" t="s">
        <v>74</v>
      </c>
      <c r="V7" t="s">
        <v>68</v>
      </c>
      <c r="W7" t="s">
        <v>73</v>
      </c>
      <c r="X7" t="s">
        <v>72</v>
      </c>
      <c r="Y7" t="s">
        <v>66</v>
      </c>
      <c r="Z7" t="s">
        <v>62</v>
      </c>
      <c r="AA7" t="s">
        <v>63</v>
      </c>
      <c r="AB7" t="s">
        <v>67</v>
      </c>
      <c r="AC7" t="s">
        <v>69</v>
      </c>
      <c r="AZ7" s="18"/>
      <c r="BA7" s="19"/>
      <c r="BB7" s="18"/>
    </row>
    <row r="8" spans="1:54" x14ac:dyDescent="0.4">
      <c r="A8" s="1">
        <v>45980</v>
      </c>
      <c r="B8">
        <v>0.48581053785135864</v>
      </c>
      <c r="C8" s="45">
        <v>0.47</v>
      </c>
      <c r="D8" s="45">
        <v>0.88</v>
      </c>
      <c r="E8">
        <v>0.15</v>
      </c>
      <c r="F8">
        <v>0.33581053785135861</v>
      </c>
      <c r="G8">
        <v>0.63581053785135866</v>
      </c>
      <c r="H8" t="s">
        <v>117</v>
      </c>
      <c r="I8" s="1" t="s">
        <v>126</v>
      </c>
      <c r="J8" t="s">
        <v>126</v>
      </c>
      <c r="L8" t="s">
        <v>58</v>
      </c>
      <c r="M8" t="s">
        <v>59</v>
      </c>
      <c r="N8" t="s">
        <v>60</v>
      </c>
      <c r="O8" t="s">
        <v>55</v>
      </c>
      <c r="P8" t="s">
        <v>125</v>
      </c>
      <c r="Q8" t="s">
        <v>65</v>
      </c>
      <c r="R8" t="s">
        <v>64</v>
      </c>
      <c r="S8" t="s">
        <v>71</v>
      </c>
      <c r="T8" t="s">
        <v>70</v>
      </c>
      <c r="U8" t="s">
        <v>74</v>
      </c>
      <c r="V8" t="s">
        <v>68</v>
      </c>
      <c r="W8" t="s">
        <v>73</v>
      </c>
      <c r="X8" t="s">
        <v>72</v>
      </c>
      <c r="Y8" t="s">
        <v>66</v>
      </c>
      <c r="Z8" t="s">
        <v>62</v>
      </c>
      <c r="AA8" t="s">
        <v>63</v>
      </c>
      <c r="AB8" t="s">
        <v>67</v>
      </c>
      <c r="AC8" t="s">
        <v>69</v>
      </c>
      <c r="AZ8" s="18"/>
      <c r="BA8" s="19"/>
      <c r="BB8" s="18"/>
    </row>
    <row r="9" spans="1:54" x14ac:dyDescent="0.4">
      <c r="A9" s="1">
        <v>45980</v>
      </c>
      <c r="B9">
        <v>0.48581053785135864</v>
      </c>
      <c r="C9" s="45">
        <v>0.47</v>
      </c>
      <c r="D9" s="45">
        <v>0.88</v>
      </c>
      <c r="E9">
        <v>0.15</v>
      </c>
      <c r="F9">
        <v>0.33581053785135861</v>
      </c>
      <c r="G9">
        <v>0.63581053785135866</v>
      </c>
      <c r="I9" s="1">
        <v>45980</v>
      </c>
      <c r="J9">
        <v>0.48581053785135864</v>
      </c>
      <c r="L9">
        <v>0</v>
      </c>
      <c r="M9">
        <v>0</v>
      </c>
      <c r="N9">
        <v>0</v>
      </c>
      <c r="O9">
        <v>0</v>
      </c>
      <c r="Q9">
        <v>0</v>
      </c>
      <c r="R9">
        <v>0</v>
      </c>
      <c r="S9">
        <v>0</v>
      </c>
      <c r="T9">
        <v>0</v>
      </c>
      <c r="U9">
        <v>0</v>
      </c>
      <c r="V9">
        <v>0</v>
      </c>
      <c r="W9">
        <v>0</v>
      </c>
      <c r="X9">
        <v>0</v>
      </c>
      <c r="Y9">
        <v>0</v>
      </c>
      <c r="Z9">
        <v>0</v>
      </c>
      <c r="AA9">
        <v>0</v>
      </c>
      <c r="AB9">
        <v>0</v>
      </c>
      <c r="AC9">
        <v>0</v>
      </c>
      <c r="AZ9" s="18"/>
      <c r="BA9" s="19"/>
      <c r="BB9" s="18"/>
    </row>
    <row r="10" spans="1:54" x14ac:dyDescent="0.4">
      <c r="A10" s="1">
        <v>45980</v>
      </c>
      <c r="B10">
        <v>0.48581053785135864</v>
      </c>
      <c r="C10" s="45">
        <v>0.47</v>
      </c>
      <c r="D10" s="45">
        <v>0.88</v>
      </c>
      <c r="E10">
        <v>0.15</v>
      </c>
      <c r="F10">
        <v>0.33581053785135861</v>
      </c>
      <c r="G10">
        <v>0.63581053785135866</v>
      </c>
      <c r="I10" s="1">
        <v>45980</v>
      </c>
      <c r="J10">
        <v>0.48581053785135864</v>
      </c>
      <c r="L10">
        <v>0</v>
      </c>
      <c r="M10">
        <v>0</v>
      </c>
      <c r="N10">
        <v>0</v>
      </c>
      <c r="O10">
        <v>0</v>
      </c>
      <c r="Q10">
        <v>0</v>
      </c>
      <c r="R10">
        <v>0</v>
      </c>
      <c r="S10">
        <v>0</v>
      </c>
      <c r="T10">
        <v>0</v>
      </c>
      <c r="U10">
        <v>0</v>
      </c>
      <c r="V10">
        <v>0</v>
      </c>
      <c r="W10">
        <v>0</v>
      </c>
      <c r="X10">
        <v>0</v>
      </c>
      <c r="Y10">
        <v>0</v>
      </c>
      <c r="Z10">
        <v>0</v>
      </c>
      <c r="AA10">
        <v>0</v>
      </c>
      <c r="AB10">
        <v>0</v>
      </c>
      <c r="AC10">
        <v>0</v>
      </c>
      <c r="AZ10" s="18"/>
      <c r="BA10" s="19"/>
      <c r="BB10" s="18"/>
    </row>
    <row r="11" spans="1:54" x14ac:dyDescent="0.4">
      <c r="A11" s="1">
        <v>45980</v>
      </c>
      <c r="B11">
        <v>0.48581053785135864</v>
      </c>
      <c r="C11" s="45">
        <v>0.47</v>
      </c>
      <c r="D11" s="45">
        <v>0.88</v>
      </c>
      <c r="E11">
        <v>0.15</v>
      </c>
      <c r="F11">
        <v>0.33581053785135861</v>
      </c>
      <c r="G11">
        <v>0.63581053785135866</v>
      </c>
      <c r="I11" s="1">
        <v>45980</v>
      </c>
      <c r="J11">
        <v>0.48581053785135864</v>
      </c>
      <c r="L11">
        <v>0</v>
      </c>
      <c r="M11">
        <v>0</v>
      </c>
      <c r="N11">
        <v>0</v>
      </c>
      <c r="O11">
        <v>0</v>
      </c>
      <c r="Q11">
        <v>0</v>
      </c>
      <c r="R11">
        <v>0</v>
      </c>
      <c r="S11">
        <v>0</v>
      </c>
      <c r="T11">
        <v>0</v>
      </c>
      <c r="U11">
        <v>0</v>
      </c>
      <c r="V11">
        <v>0</v>
      </c>
      <c r="W11">
        <v>0</v>
      </c>
      <c r="X11">
        <v>0</v>
      </c>
      <c r="Y11">
        <v>0</v>
      </c>
      <c r="Z11">
        <v>0</v>
      </c>
      <c r="AA11">
        <v>0</v>
      </c>
      <c r="AB11">
        <v>0</v>
      </c>
      <c r="AC11">
        <v>0</v>
      </c>
      <c r="AZ11" s="18"/>
      <c r="BA11" s="19"/>
      <c r="BB11" s="18"/>
    </row>
    <row r="12" spans="1:54" x14ac:dyDescent="0.4">
      <c r="A12" s="1">
        <v>45980</v>
      </c>
      <c r="B12">
        <v>0.48581053785135864</v>
      </c>
      <c r="C12" s="45">
        <v>0.47</v>
      </c>
      <c r="D12" s="45">
        <v>0.54</v>
      </c>
      <c r="E12">
        <v>0.26617183254406346</v>
      </c>
      <c r="F12">
        <v>0.21963870530729518</v>
      </c>
      <c r="G12">
        <v>0.75198237039542204</v>
      </c>
      <c r="I12" s="1">
        <v>45980</v>
      </c>
      <c r="J12">
        <v>0.48581053785135864</v>
      </c>
      <c r="L12">
        <v>0</v>
      </c>
      <c r="M12">
        <v>0</v>
      </c>
      <c r="N12">
        <v>0</v>
      </c>
      <c r="O12">
        <v>0</v>
      </c>
      <c r="Q12">
        <v>0</v>
      </c>
      <c r="R12">
        <v>0</v>
      </c>
      <c r="S12">
        <v>0</v>
      </c>
      <c r="T12">
        <v>0</v>
      </c>
      <c r="U12">
        <v>0</v>
      </c>
      <c r="V12">
        <v>0</v>
      </c>
      <c r="W12">
        <v>0</v>
      </c>
      <c r="X12">
        <v>0</v>
      </c>
      <c r="Y12">
        <v>0</v>
      </c>
      <c r="Z12">
        <v>0</v>
      </c>
      <c r="AA12">
        <v>0</v>
      </c>
      <c r="AB12">
        <v>0</v>
      </c>
      <c r="AC12">
        <v>0</v>
      </c>
      <c r="AZ12" s="18"/>
      <c r="BA12" s="19"/>
      <c r="BB12" s="18"/>
    </row>
    <row r="13" spans="1:54" x14ac:dyDescent="0.4">
      <c r="A13" s="1">
        <v>45982</v>
      </c>
      <c r="B13">
        <v>0.81504087593346108</v>
      </c>
      <c r="C13" s="45">
        <v>0.47</v>
      </c>
      <c r="D13" s="45">
        <v>0.88</v>
      </c>
      <c r="E13">
        <v>0.15</v>
      </c>
      <c r="F13">
        <v>0.66504087593346106</v>
      </c>
      <c r="G13">
        <v>0.96504087593346111</v>
      </c>
      <c r="H13" t="s">
        <v>117</v>
      </c>
      <c r="I13" s="1" t="s">
        <v>128</v>
      </c>
      <c r="J13" t="s">
        <v>128</v>
      </c>
      <c r="L13" t="s">
        <v>58</v>
      </c>
      <c r="M13" t="s">
        <v>59</v>
      </c>
      <c r="N13" t="s">
        <v>60</v>
      </c>
      <c r="O13" t="s">
        <v>55</v>
      </c>
      <c r="P13" t="s">
        <v>127</v>
      </c>
      <c r="Q13" t="s">
        <v>65</v>
      </c>
      <c r="R13" t="s">
        <v>64</v>
      </c>
      <c r="S13" t="s">
        <v>71</v>
      </c>
      <c r="T13" t="s">
        <v>70</v>
      </c>
      <c r="U13" t="s">
        <v>74</v>
      </c>
      <c r="V13" t="s">
        <v>68</v>
      </c>
      <c r="W13" t="s">
        <v>73</v>
      </c>
      <c r="X13" t="s">
        <v>72</v>
      </c>
      <c r="Y13" t="s">
        <v>66</v>
      </c>
      <c r="Z13" t="s">
        <v>62</v>
      </c>
      <c r="AA13" t="s">
        <v>63</v>
      </c>
      <c r="AB13" t="s">
        <v>67</v>
      </c>
      <c r="AC13" t="s">
        <v>69</v>
      </c>
      <c r="AZ13" s="18"/>
      <c r="BA13" s="19"/>
      <c r="BB13" s="18"/>
    </row>
    <row r="14" spans="1:54" x14ac:dyDescent="0.4">
      <c r="A14" s="1">
        <v>45982</v>
      </c>
      <c r="B14">
        <v>0.81504087593346108</v>
      </c>
      <c r="C14" s="45">
        <v>0.47</v>
      </c>
      <c r="D14" s="45">
        <v>0.88</v>
      </c>
      <c r="E14">
        <v>0.15</v>
      </c>
      <c r="F14">
        <v>0.66504087593346106</v>
      </c>
      <c r="G14">
        <v>0.96504087593346111</v>
      </c>
      <c r="H14" t="s">
        <v>117</v>
      </c>
      <c r="I14" s="1" t="s">
        <v>130</v>
      </c>
      <c r="J14" t="s">
        <v>130</v>
      </c>
      <c r="L14" t="s">
        <v>58</v>
      </c>
      <c r="M14" t="s">
        <v>59</v>
      </c>
      <c r="N14" t="s">
        <v>60</v>
      </c>
      <c r="O14" t="s">
        <v>55</v>
      </c>
      <c r="P14" t="s">
        <v>129</v>
      </c>
      <c r="Q14" t="s">
        <v>65</v>
      </c>
      <c r="R14" t="s">
        <v>64</v>
      </c>
      <c r="S14" t="s">
        <v>71</v>
      </c>
      <c r="T14" t="s">
        <v>70</v>
      </c>
      <c r="U14" t="s">
        <v>74</v>
      </c>
      <c r="V14" t="s">
        <v>68</v>
      </c>
      <c r="W14" t="s">
        <v>73</v>
      </c>
      <c r="X14" t="s">
        <v>72</v>
      </c>
      <c r="Y14" t="s">
        <v>66</v>
      </c>
      <c r="Z14" t="s">
        <v>62</v>
      </c>
      <c r="AA14" t="s">
        <v>63</v>
      </c>
      <c r="AB14" t="s">
        <v>67</v>
      </c>
      <c r="AC14" t="s">
        <v>69</v>
      </c>
      <c r="AZ14" s="18"/>
      <c r="BA14" s="19"/>
      <c r="BB14" s="18"/>
    </row>
    <row r="15" spans="1:54" x14ac:dyDescent="0.4">
      <c r="A15" s="1">
        <v>45982</v>
      </c>
      <c r="B15">
        <v>0.81504087593346108</v>
      </c>
      <c r="C15" s="45">
        <v>0.47</v>
      </c>
      <c r="D15" s="45">
        <v>0.44</v>
      </c>
      <c r="E15">
        <v>0.25666371050525516</v>
      </c>
      <c r="F15">
        <v>0.55837716542820592</v>
      </c>
      <c r="G15">
        <v>1.0717045864387162</v>
      </c>
      <c r="H15" t="s">
        <v>117</v>
      </c>
      <c r="I15" s="1" t="s">
        <v>132</v>
      </c>
      <c r="J15" t="s">
        <v>132</v>
      </c>
      <c r="L15" t="s">
        <v>58</v>
      </c>
      <c r="M15" t="s">
        <v>59</v>
      </c>
      <c r="N15" t="s">
        <v>60</v>
      </c>
      <c r="O15" t="s">
        <v>55</v>
      </c>
      <c r="P15" t="s">
        <v>131</v>
      </c>
      <c r="Q15" t="s">
        <v>65</v>
      </c>
      <c r="R15" t="s">
        <v>64</v>
      </c>
      <c r="S15" t="s">
        <v>71</v>
      </c>
      <c r="T15" t="s">
        <v>70</v>
      </c>
      <c r="U15" t="s">
        <v>74</v>
      </c>
      <c r="V15" t="s">
        <v>68</v>
      </c>
      <c r="W15" t="s">
        <v>73</v>
      </c>
      <c r="X15" t="s">
        <v>72</v>
      </c>
      <c r="Y15" t="s">
        <v>66</v>
      </c>
      <c r="Z15" t="s">
        <v>62</v>
      </c>
      <c r="AA15" t="s">
        <v>63</v>
      </c>
      <c r="AB15" t="s">
        <v>67</v>
      </c>
      <c r="AC15" t="s">
        <v>69</v>
      </c>
      <c r="AZ15" s="18"/>
      <c r="BA15" s="19"/>
      <c r="BB15" s="18"/>
    </row>
    <row r="16" spans="1:54" x14ac:dyDescent="0.4">
      <c r="A16" s="1">
        <v>45982</v>
      </c>
      <c r="B16">
        <v>0.81504087593346108</v>
      </c>
      <c r="C16" s="45">
        <v>0.47</v>
      </c>
      <c r="D16" s="45">
        <v>0.44</v>
      </c>
      <c r="E16">
        <v>0.25666371050525516</v>
      </c>
      <c r="F16">
        <v>0.55837716542820592</v>
      </c>
      <c r="G16">
        <v>1.0717045864387162</v>
      </c>
      <c r="H16" t="s">
        <v>117</v>
      </c>
      <c r="I16" t="s">
        <v>134</v>
      </c>
      <c r="J16" t="s">
        <v>134</v>
      </c>
      <c r="L16" t="s">
        <v>58</v>
      </c>
      <c r="M16" t="s">
        <v>59</v>
      </c>
      <c r="N16" t="s">
        <v>60</v>
      </c>
      <c r="O16" t="s">
        <v>55</v>
      </c>
      <c r="P16" t="s">
        <v>133</v>
      </c>
      <c r="Q16" t="s">
        <v>65</v>
      </c>
      <c r="R16" t="s">
        <v>64</v>
      </c>
      <c r="S16" t="s">
        <v>71</v>
      </c>
      <c r="T16" t="s">
        <v>70</v>
      </c>
      <c r="U16" t="s">
        <v>74</v>
      </c>
      <c r="V16" t="s">
        <v>68</v>
      </c>
      <c r="W16" t="s">
        <v>73</v>
      </c>
      <c r="X16" t="s">
        <v>72</v>
      </c>
      <c r="Y16" t="s">
        <v>66</v>
      </c>
      <c r="Z16" t="s">
        <v>62</v>
      </c>
      <c r="AA16" t="s">
        <v>63</v>
      </c>
      <c r="AB16" t="s">
        <v>67</v>
      </c>
      <c r="AC16" t="s">
        <v>69</v>
      </c>
      <c r="AZ16" s="18"/>
      <c r="BA16" s="19"/>
      <c r="BB16" s="18"/>
    </row>
    <row r="17" spans="1:54" x14ac:dyDescent="0.4">
      <c r="A17" s="1">
        <v>45982</v>
      </c>
      <c r="B17">
        <v>0.55855463769376468</v>
      </c>
      <c r="C17" s="45">
        <v>0.47</v>
      </c>
      <c r="D17" s="45">
        <v>0.88</v>
      </c>
      <c r="E17">
        <v>0.15</v>
      </c>
      <c r="F17">
        <v>0.40855463769376466</v>
      </c>
      <c r="G17">
        <v>0.7085546376937647</v>
      </c>
      <c r="H17" t="s">
        <v>117</v>
      </c>
      <c r="I17" s="1" t="s">
        <v>136</v>
      </c>
      <c r="J17" t="s">
        <v>136</v>
      </c>
      <c r="L17" t="s">
        <v>58</v>
      </c>
      <c r="M17" t="s">
        <v>59</v>
      </c>
      <c r="N17" t="s">
        <v>60</v>
      </c>
      <c r="O17" t="s">
        <v>55</v>
      </c>
      <c r="P17" t="s">
        <v>135</v>
      </c>
      <c r="Q17" t="s">
        <v>65</v>
      </c>
      <c r="R17" t="s">
        <v>64</v>
      </c>
      <c r="S17" t="s">
        <v>71</v>
      </c>
      <c r="T17" t="s">
        <v>70</v>
      </c>
      <c r="U17" t="s">
        <v>74</v>
      </c>
      <c r="V17" t="s">
        <v>68</v>
      </c>
      <c r="W17" t="s">
        <v>73</v>
      </c>
      <c r="X17" t="s">
        <v>72</v>
      </c>
      <c r="Y17" t="s">
        <v>66</v>
      </c>
      <c r="Z17" t="s">
        <v>62</v>
      </c>
      <c r="AA17" t="s">
        <v>63</v>
      </c>
      <c r="AB17" t="s">
        <v>67</v>
      </c>
      <c r="AC17" t="s">
        <v>69</v>
      </c>
      <c r="AZ17" s="18"/>
      <c r="BA17" s="19"/>
      <c r="BB17" s="18"/>
    </row>
    <row r="18" spans="1:54" x14ac:dyDescent="0.4">
      <c r="A18" s="1">
        <v>45986</v>
      </c>
      <c r="B18">
        <v>0.48581053785135864</v>
      </c>
      <c r="C18" s="45">
        <v>0.47</v>
      </c>
      <c r="D18" s="45">
        <v>0.88</v>
      </c>
      <c r="E18">
        <v>0.15</v>
      </c>
      <c r="F18">
        <v>0.33581053785135861</v>
      </c>
      <c r="G18">
        <v>0.63581053785135866</v>
      </c>
      <c r="H18" t="s">
        <v>117</v>
      </c>
      <c r="I18" s="1" t="s">
        <v>138</v>
      </c>
      <c r="J18" t="s">
        <v>138</v>
      </c>
      <c r="L18" t="s">
        <v>58</v>
      </c>
      <c r="M18" t="s">
        <v>59</v>
      </c>
      <c r="N18" t="s">
        <v>60</v>
      </c>
      <c r="O18" t="s">
        <v>55</v>
      </c>
      <c r="P18" t="s">
        <v>137</v>
      </c>
      <c r="Q18" t="s">
        <v>65</v>
      </c>
      <c r="R18" t="s">
        <v>64</v>
      </c>
      <c r="S18" t="s">
        <v>71</v>
      </c>
      <c r="T18" t="s">
        <v>70</v>
      </c>
      <c r="U18" t="s">
        <v>74</v>
      </c>
      <c r="V18" t="s">
        <v>68</v>
      </c>
      <c r="W18" t="s">
        <v>73</v>
      </c>
      <c r="X18" t="s">
        <v>72</v>
      </c>
      <c r="Y18" t="s">
        <v>66</v>
      </c>
      <c r="Z18" t="s">
        <v>62</v>
      </c>
      <c r="AA18" t="s">
        <v>63</v>
      </c>
      <c r="AB18" t="s">
        <v>67</v>
      </c>
      <c r="AC18" t="s">
        <v>69</v>
      </c>
      <c r="AZ18" s="18"/>
      <c r="BA18" s="19"/>
      <c r="BB18" s="18"/>
    </row>
    <row r="19" spans="1:54" x14ac:dyDescent="0.4">
      <c r="A19" s="1">
        <v>45986</v>
      </c>
      <c r="B19">
        <v>0.48581053785135864</v>
      </c>
      <c r="C19" s="45">
        <v>0.47</v>
      </c>
      <c r="D19" s="45">
        <v>0.54</v>
      </c>
      <c r="E19">
        <v>0.26617183254406346</v>
      </c>
      <c r="F19">
        <v>0.21963870530729518</v>
      </c>
      <c r="G19">
        <v>0.75198237039542204</v>
      </c>
      <c r="I19" s="1">
        <v>45986</v>
      </c>
      <c r="J19">
        <v>0.48581053785135864</v>
      </c>
      <c r="L19">
        <v>0</v>
      </c>
      <c r="M19">
        <v>0</v>
      </c>
      <c r="N19">
        <v>0</v>
      </c>
      <c r="O19">
        <v>0</v>
      </c>
      <c r="Q19">
        <v>0</v>
      </c>
      <c r="R19">
        <v>0</v>
      </c>
      <c r="S19">
        <v>0</v>
      </c>
      <c r="T19">
        <v>0</v>
      </c>
      <c r="U19">
        <v>0</v>
      </c>
      <c r="V19">
        <v>0</v>
      </c>
      <c r="W19">
        <v>0</v>
      </c>
      <c r="X19">
        <v>0</v>
      </c>
      <c r="Y19">
        <v>0</v>
      </c>
      <c r="Z19">
        <v>0</v>
      </c>
      <c r="AA19">
        <v>0</v>
      </c>
      <c r="AB19">
        <v>0</v>
      </c>
      <c r="AC19">
        <v>0</v>
      </c>
      <c r="AZ19" s="18"/>
      <c r="BA19" s="19"/>
      <c r="BB19" s="18"/>
    </row>
    <row r="20" spans="1:54" x14ac:dyDescent="0.4">
      <c r="A20" s="1">
        <v>45986</v>
      </c>
      <c r="B20">
        <v>0.48581053785135864</v>
      </c>
      <c r="C20" s="45">
        <v>0.47</v>
      </c>
      <c r="D20" s="45">
        <v>0.54</v>
      </c>
      <c r="E20">
        <v>0.26617183254406346</v>
      </c>
      <c r="F20">
        <v>0.21963870530729518</v>
      </c>
      <c r="G20">
        <v>0.75198237039542204</v>
      </c>
      <c r="H20" t="s">
        <v>117</v>
      </c>
      <c r="I20" t="s">
        <v>140</v>
      </c>
      <c r="J20" t="s">
        <v>140</v>
      </c>
      <c r="L20" t="s">
        <v>58</v>
      </c>
      <c r="M20" t="s">
        <v>59</v>
      </c>
      <c r="N20" t="s">
        <v>60</v>
      </c>
      <c r="O20" t="s">
        <v>55</v>
      </c>
      <c r="P20" t="s">
        <v>139</v>
      </c>
      <c r="Q20" t="s">
        <v>65</v>
      </c>
      <c r="R20" t="s">
        <v>64</v>
      </c>
      <c r="S20" t="s">
        <v>71</v>
      </c>
      <c r="T20" t="s">
        <v>70</v>
      </c>
      <c r="U20" t="s">
        <v>74</v>
      </c>
      <c r="V20" t="s">
        <v>68</v>
      </c>
      <c r="W20" t="s">
        <v>73</v>
      </c>
      <c r="X20" t="s">
        <v>72</v>
      </c>
      <c r="Y20" t="s">
        <v>66</v>
      </c>
      <c r="Z20" t="s">
        <v>62</v>
      </c>
      <c r="AA20" t="s">
        <v>63</v>
      </c>
      <c r="AB20" t="s">
        <v>67</v>
      </c>
      <c r="AC20" t="s">
        <v>69</v>
      </c>
      <c r="AZ20" s="18"/>
      <c r="BA20" s="19"/>
      <c r="BB20" s="18"/>
    </row>
    <row r="21" spans="1:54" x14ac:dyDescent="0.4">
      <c r="A21" s="1">
        <v>45986</v>
      </c>
      <c r="B21">
        <v>0.48581053785135864</v>
      </c>
      <c r="C21" s="45">
        <v>0.47</v>
      </c>
      <c r="D21" s="45">
        <v>0.54</v>
      </c>
      <c r="E21">
        <v>0.26617183254406346</v>
      </c>
      <c r="F21">
        <v>0.21963870530729518</v>
      </c>
      <c r="G21">
        <v>0.75198237039542204</v>
      </c>
      <c r="I21" s="1">
        <v>45986</v>
      </c>
      <c r="J21">
        <v>0.48581053785135864</v>
      </c>
      <c r="L21">
        <v>0</v>
      </c>
      <c r="M21">
        <v>0</v>
      </c>
      <c r="N21">
        <v>0</v>
      </c>
      <c r="O21">
        <v>0</v>
      </c>
      <c r="Q21">
        <v>0</v>
      </c>
      <c r="R21">
        <v>0</v>
      </c>
      <c r="S21">
        <v>0</v>
      </c>
      <c r="T21">
        <v>0</v>
      </c>
      <c r="U21">
        <v>0</v>
      </c>
      <c r="V21">
        <v>0</v>
      </c>
      <c r="W21">
        <v>0</v>
      </c>
      <c r="X21">
        <v>0</v>
      </c>
      <c r="Y21">
        <v>0</v>
      </c>
      <c r="Z21">
        <v>0</v>
      </c>
      <c r="AA21">
        <v>0</v>
      </c>
      <c r="AB21">
        <v>0</v>
      </c>
      <c r="AC21">
        <v>0</v>
      </c>
      <c r="AZ21" s="18"/>
      <c r="BA21" s="19"/>
      <c r="BB21" s="18"/>
    </row>
    <row r="22" spans="1:54" x14ac:dyDescent="0.4">
      <c r="A22" s="1">
        <v>45986</v>
      </c>
      <c r="B22">
        <v>0.48581053785135864</v>
      </c>
      <c r="C22" s="45">
        <v>0.47</v>
      </c>
      <c r="D22" s="45">
        <v>0.54</v>
      </c>
      <c r="E22">
        <v>0.26617183254406346</v>
      </c>
      <c r="F22">
        <v>0.21963870530729518</v>
      </c>
      <c r="G22">
        <v>0.75198237039542204</v>
      </c>
      <c r="I22" s="1">
        <v>45986</v>
      </c>
      <c r="J22">
        <v>0.48581053785135864</v>
      </c>
      <c r="L22">
        <v>0</v>
      </c>
      <c r="M22">
        <v>0</v>
      </c>
      <c r="N22">
        <v>0</v>
      </c>
      <c r="O22">
        <v>0</v>
      </c>
      <c r="Q22">
        <v>0</v>
      </c>
      <c r="R22">
        <v>0</v>
      </c>
      <c r="S22">
        <v>0</v>
      </c>
      <c r="T22">
        <v>0</v>
      </c>
      <c r="U22">
        <v>0</v>
      </c>
      <c r="V22">
        <v>0</v>
      </c>
      <c r="W22">
        <v>0</v>
      </c>
      <c r="X22">
        <v>0</v>
      </c>
      <c r="Y22">
        <v>0</v>
      </c>
      <c r="Z22">
        <v>0</v>
      </c>
      <c r="AA22">
        <v>0</v>
      </c>
      <c r="AB22">
        <v>0</v>
      </c>
      <c r="AC22">
        <v>0</v>
      </c>
      <c r="AZ22" s="18"/>
      <c r="BA22" s="25" t="s">
        <v>100</v>
      </c>
      <c r="BB22" s="18"/>
    </row>
    <row r="23" spans="1:54" ht="17.149999999999999" x14ac:dyDescent="0.4">
      <c r="A23" s="1">
        <v>46009</v>
      </c>
      <c r="B23">
        <v>0.81504087593346108</v>
      </c>
      <c r="C23" s="45">
        <v>0.47</v>
      </c>
      <c r="D23" s="45">
        <v>0.88</v>
      </c>
      <c r="E23">
        <v>0.15</v>
      </c>
      <c r="F23">
        <v>0.66504087593346106</v>
      </c>
      <c r="G23">
        <v>0.96504087593346111</v>
      </c>
      <c r="H23" t="s">
        <v>117</v>
      </c>
      <c r="I23" t="s">
        <v>142</v>
      </c>
      <c r="J23" t="s">
        <v>142</v>
      </c>
      <c r="L23" t="s">
        <v>58</v>
      </c>
      <c r="M23" t="s">
        <v>59</v>
      </c>
      <c r="N23" t="s">
        <v>60</v>
      </c>
      <c r="O23" t="s">
        <v>55</v>
      </c>
      <c r="P23" t="s">
        <v>141</v>
      </c>
      <c r="Q23" t="s">
        <v>65</v>
      </c>
      <c r="R23" t="s">
        <v>64</v>
      </c>
      <c r="S23" t="s">
        <v>71</v>
      </c>
      <c r="T23" t="s">
        <v>70</v>
      </c>
      <c r="U23" t="s">
        <v>74</v>
      </c>
      <c r="V23" t="s">
        <v>68</v>
      </c>
      <c r="W23" t="s">
        <v>73</v>
      </c>
      <c r="X23" t="s">
        <v>72</v>
      </c>
      <c r="Y23" t="s">
        <v>66</v>
      </c>
      <c r="Z23" t="s">
        <v>62</v>
      </c>
      <c r="AA23" t="s">
        <v>63</v>
      </c>
      <c r="AB23" t="s">
        <v>67</v>
      </c>
      <c r="AC23" t="s">
        <v>69</v>
      </c>
      <c r="AZ23" s="18"/>
      <c r="BA23" s="84" t="s">
        <v>112</v>
      </c>
      <c r="BB23" s="18"/>
    </row>
    <row r="24" spans="1:54" x14ac:dyDescent="0.4">
      <c r="A24" s="1">
        <v>46009</v>
      </c>
      <c r="B24">
        <v>0.81504087593346108</v>
      </c>
      <c r="C24" s="45">
        <v>0.47</v>
      </c>
      <c r="D24" s="45">
        <v>0.88</v>
      </c>
      <c r="E24">
        <v>0.15</v>
      </c>
      <c r="F24">
        <v>0.66504087593346106</v>
      </c>
      <c r="G24">
        <v>0.96504087593346111</v>
      </c>
      <c r="H24" t="s">
        <v>117</v>
      </c>
      <c r="I24" t="s">
        <v>144</v>
      </c>
      <c r="J24" t="s">
        <v>144</v>
      </c>
      <c r="L24" t="s">
        <v>58</v>
      </c>
      <c r="M24" t="s">
        <v>59</v>
      </c>
      <c r="N24" t="s">
        <v>60</v>
      </c>
      <c r="O24" t="s">
        <v>55</v>
      </c>
      <c r="P24" t="s">
        <v>143</v>
      </c>
      <c r="Q24" t="s">
        <v>65</v>
      </c>
      <c r="R24" t="s">
        <v>64</v>
      </c>
      <c r="S24" t="s">
        <v>71</v>
      </c>
      <c r="T24" t="s">
        <v>70</v>
      </c>
      <c r="U24" t="s">
        <v>74</v>
      </c>
      <c r="V24" t="s">
        <v>68</v>
      </c>
      <c r="W24" t="s">
        <v>73</v>
      </c>
      <c r="X24" t="s">
        <v>72</v>
      </c>
      <c r="Y24" t="s">
        <v>66</v>
      </c>
      <c r="Z24" t="s">
        <v>62</v>
      </c>
      <c r="AA24" t="s">
        <v>63</v>
      </c>
      <c r="AB24" t="s">
        <v>67</v>
      </c>
      <c r="AC24" t="s">
        <v>69</v>
      </c>
      <c r="AZ24" s="18"/>
      <c r="BA24" s="18"/>
      <c r="BB24" s="18"/>
    </row>
    <row r="25" spans="1:54" x14ac:dyDescent="0.4">
      <c r="A25" s="1">
        <v>46009</v>
      </c>
      <c r="B25">
        <v>0.81504087593346108</v>
      </c>
      <c r="C25" s="45">
        <v>0.47</v>
      </c>
      <c r="D25" s="45">
        <v>0.88</v>
      </c>
      <c r="E25">
        <v>0.15</v>
      </c>
      <c r="F25">
        <v>0.66504087593346106</v>
      </c>
      <c r="G25">
        <v>0.96504087593346111</v>
      </c>
      <c r="H25" t="s">
        <v>117</v>
      </c>
      <c r="I25" t="s">
        <v>146</v>
      </c>
      <c r="J25" t="s">
        <v>146</v>
      </c>
      <c r="L25" t="s">
        <v>58</v>
      </c>
      <c r="M25" t="s">
        <v>59</v>
      </c>
      <c r="N25" t="s">
        <v>60</v>
      </c>
      <c r="O25" t="s">
        <v>55</v>
      </c>
      <c r="P25" t="s">
        <v>145</v>
      </c>
      <c r="Q25" t="s">
        <v>65</v>
      </c>
      <c r="R25" t="s">
        <v>64</v>
      </c>
      <c r="S25" t="s">
        <v>71</v>
      </c>
      <c r="T25" t="s">
        <v>70</v>
      </c>
      <c r="U25" t="s">
        <v>74</v>
      </c>
      <c r="V25" t="s">
        <v>68</v>
      </c>
      <c r="W25" t="s">
        <v>73</v>
      </c>
      <c r="X25" t="s">
        <v>72</v>
      </c>
      <c r="Y25" t="s">
        <v>66</v>
      </c>
      <c r="Z25" t="s">
        <v>62</v>
      </c>
      <c r="AA25" t="s">
        <v>63</v>
      </c>
      <c r="AB25" t="s">
        <v>67</v>
      </c>
      <c r="AC25" t="s">
        <v>69</v>
      </c>
    </row>
    <row r="26" spans="1:54" x14ac:dyDescent="0.4">
      <c r="A26" s="1">
        <v>46009</v>
      </c>
      <c r="B26">
        <v>0.81504087593346108</v>
      </c>
      <c r="C26" s="45">
        <v>0.47</v>
      </c>
      <c r="D26" s="45">
        <v>0.88</v>
      </c>
      <c r="E26">
        <v>0.15</v>
      </c>
      <c r="F26">
        <v>0.66504087593346106</v>
      </c>
      <c r="G26">
        <v>0.96504087593346111</v>
      </c>
      <c r="H26" t="s">
        <v>117</v>
      </c>
      <c r="I26" t="s">
        <v>148</v>
      </c>
      <c r="J26" t="s">
        <v>148</v>
      </c>
      <c r="L26" t="s">
        <v>58</v>
      </c>
      <c r="M26" t="s">
        <v>59</v>
      </c>
      <c r="N26" t="s">
        <v>60</v>
      </c>
      <c r="O26" t="s">
        <v>55</v>
      </c>
      <c r="P26" t="s">
        <v>147</v>
      </c>
      <c r="Q26" t="s">
        <v>65</v>
      </c>
      <c r="R26" t="s">
        <v>64</v>
      </c>
      <c r="S26" t="s">
        <v>71</v>
      </c>
      <c r="T26" t="s">
        <v>70</v>
      </c>
      <c r="U26" t="s">
        <v>74</v>
      </c>
      <c r="V26" t="s">
        <v>68</v>
      </c>
      <c r="W26" t="s">
        <v>73</v>
      </c>
      <c r="X26" t="s">
        <v>72</v>
      </c>
      <c r="Y26" t="s">
        <v>66</v>
      </c>
      <c r="Z26" t="s">
        <v>62</v>
      </c>
      <c r="AA26" t="s">
        <v>63</v>
      </c>
      <c r="AB26" t="s">
        <v>67</v>
      </c>
      <c r="AC26" t="s">
        <v>69</v>
      </c>
    </row>
    <row r="27" spans="1:54" x14ac:dyDescent="0.4">
      <c r="A27" s="1">
        <v>46009</v>
      </c>
      <c r="B27">
        <v>0.81504087593346108</v>
      </c>
      <c r="C27" s="45">
        <v>0.47</v>
      </c>
      <c r="D27" s="45">
        <v>0.88</v>
      </c>
      <c r="E27">
        <v>0.15</v>
      </c>
      <c r="F27">
        <v>0.66504087593346106</v>
      </c>
      <c r="G27">
        <v>0.96504087593346111</v>
      </c>
      <c r="H27" t="s">
        <v>117</v>
      </c>
      <c r="I27" t="s">
        <v>150</v>
      </c>
      <c r="J27" t="s">
        <v>150</v>
      </c>
      <c r="L27" t="s">
        <v>58</v>
      </c>
      <c r="M27" t="s">
        <v>59</v>
      </c>
      <c r="N27" t="s">
        <v>60</v>
      </c>
      <c r="O27" t="s">
        <v>55</v>
      </c>
      <c r="P27" t="s">
        <v>149</v>
      </c>
      <c r="Q27" t="s">
        <v>65</v>
      </c>
      <c r="R27" t="s">
        <v>64</v>
      </c>
      <c r="S27" t="s">
        <v>71</v>
      </c>
      <c r="T27" t="s">
        <v>70</v>
      </c>
      <c r="U27" t="s">
        <v>74</v>
      </c>
      <c r="V27" t="s">
        <v>68</v>
      </c>
      <c r="W27" t="s">
        <v>73</v>
      </c>
      <c r="X27" t="s">
        <v>72</v>
      </c>
      <c r="Y27" t="s">
        <v>66</v>
      </c>
      <c r="Z27" t="s">
        <v>62</v>
      </c>
      <c r="AA27" t="s">
        <v>63</v>
      </c>
      <c r="AB27" t="s">
        <v>67</v>
      </c>
      <c r="AC27" t="s">
        <v>69</v>
      </c>
    </row>
    <row r="28" spans="1:54" x14ac:dyDescent="0.4">
      <c r="A28" s="1">
        <v>46009</v>
      </c>
      <c r="B28">
        <v>0.81504087593346108</v>
      </c>
      <c r="C28" s="45">
        <v>0.47</v>
      </c>
      <c r="D28" s="45">
        <v>0.88</v>
      </c>
      <c r="E28">
        <v>0.15</v>
      </c>
      <c r="F28">
        <v>0.66504087593346106</v>
      </c>
      <c r="G28">
        <v>0.96504087593346111</v>
      </c>
      <c r="H28" t="s">
        <v>117</v>
      </c>
      <c r="I28" t="s">
        <v>152</v>
      </c>
      <c r="J28" t="s">
        <v>152</v>
      </c>
      <c r="L28" t="s">
        <v>58</v>
      </c>
      <c r="M28" t="s">
        <v>59</v>
      </c>
      <c r="N28" t="s">
        <v>60</v>
      </c>
      <c r="O28" t="s">
        <v>55</v>
      </c>
      <c r="P28" t="s">
        <v>151</v>
      </c>
      <c r="Q28" t="s">
        <v>65</v>
      </c>
      <c r="R28" t="s">
        <v>64</v>
      </c>
      <c r="S28" t="s">
        <v>71</v>
      </c>
      <c r="T28" t="s">
        <v>70</v>
      </c>
      <c r="U28" t="s">
        <v>74</v>
      </c>
      <c r="V28" t="s">
        <v>68</v>
      </c>
      <c r="W28" t="s">
        <v>73</v>
      </c>
      <c r="X28" t="s">
        <v>72</v>
      </c>
      <c r="Y28" t="s">
        <v>66</v>
      </c>
      <c r="Z28" t="s">
        <v>62</v>
      </c>
      <c r="AA28" t="s">
        <v>63</v>
      </c>
      <c r="AB28" t="s">
        <v>67</v>
      </c>
      <c r="AC28" t="s">
        <v>69</v>
      </c>
    </row>
    <row r="29" spans="1:54" x14ac:dyDescent="0.4">
      <c r="A29" s="1">
        <v>46009</v>
      </c>
      <c r="B29">
        <v>0.81504087593346108</v>
      </c>
      <c r="C29" s="45">
        <v>0.47</v>
      </c>
      <c r="D29" s="45">
        <v>0.88</v>
      </c>
      <c r="E29">
        <v>0.15</v>
      </c>
      <c r="F29">
        <v>0.66504087593346106</v>
      </c>
      <c r="G29">
        <v>0.96504087593346111</v>
      </c>
      <c r="H29" t="s">
        <v>117</v>
      </c>
      <c r="I29" t="s">
        <v>154</v>
      </c>
      <c r="J29" t="s">
        <v>154</v>
      </c>
      <c r="L29" t="s">
        <v>58</v>
      </c>
      <c r="M29" t="s">
        <v>59</v>
      </c>
      <c r="N29" t="s">
        <v>60</v>
      </c>
      <c r="O29" t="s">
        <v>55</v>
      </c>
      <c r="P29" t="s">
        <v>153</v>
      </c>
      <c r="Q29" t="s">
        <v>65</v>
      </c>
      <c r="R29" t="s">
        <v>64</v>
      </c>
      <c r="S29" t="s">
        <v>71</v>
      </c>
      <c r="T29" t="s">
        <v>70</v>
      </c>
      <c r="U29" t="s">
        <v>74</v>
      </c>
      <c r="V29" t="s">
        <v>68</v>
      </c>
      <c r="W29" t="s">
        <v>73</v>
      </c>
      <c r="X29" t="s">
        <v>72</v>
      </c>
      <c r="Y29" t="s">
        <v>66</v>
      </c>
      <c r="Z29" t="s">
        <v>62</v>
      </c>
      <c r="AA29" t="s">
        <v>63</v>
      </c>
      <c r="AB29" t="s">
        <v>67</v>
      </c>
      <c r="AC29" t="s">
        <v>69</v>
      </c>
    </row>
    <row r="30" spans="1:54" x14ac:dyDescent="0.4">
      <c r="A30" s="1">
        <v>46009</v>
      </c>
      <c r="B30">
        <v>0.81504087593346108</v>
      </c>
      <c r="C30" s="45">
        <v>0.47</v>
      </c>
      <c r="D30" s="45">
        <v>0.88</v>
      </c>
      <c r="E30">
        <v>0.15</v>
      </c>
      <c r="F30">
        <v>0.66504087593346106</v>
      </c>
      <c r="G30">
        <v>0.96504087593346111</v>
      </c>
      <c r="H30" t="s">
        <v>117</v>
      </c>
      <c r="I30" t="s">
        <v>156</v>
      </c>
      <c r="J30" t="s">
        <v>156</v>
      </c>
      <c r="L30" t="s">
        <v>58</v>
      </c>
      <c r="M30" t="s">
        <v>59</v>
      </c>
      <c r="N30" t="s">
        <v>60</v>
      </c>
      <c r="O30" t="s">
        <v>55</v>
      </c>
      <c r="P30" t="s">
        <v>155</v>
      </c>
      <c r="Q30" t="s">
        <v>65</v>
      </c>
      <c r="R30" t="s">
        <v>64</v>
      </c>
      <c r="S30" t="s">
        <v>71</v>
      </c>
      <c r="T30" t="s">
        <v>70</v>
      </c>
      <c r="U30" t="s">
        <v>74</v>
      </c>
      <c r="V30" t="s">
        <v>68</v>
      </c>
      <c r="W30" t="s">
        <v>73</v>
      </c>
      <c r="X30" t="s">
        <v>72</v>
      </c>
      <c r="Y30" t="s">
        <v>66</v>
      </c>
      <c r="Z30" t="s">
        <v>62</v>
      </c>
      <c r="AA30" t="s">
        <v>63</v>
      </c>
      <c r="AB30" t="s">
        <v>67</v>
      </c>
      <c r="AC30" t="s">
        <v>69</v>
      </c>
    </row>
    <row r="31" spans="1:54" x14ac:dyDescent="0.4">
      <c r="A31" s="1">
        <v>46009</v>
      </c>
      <c r="B31">
        <v>0.81504087593346108</v>
      </c>
      <c r="C31" s="45">
        <v>0.47</v>
      </c>
      <c r="D31" s="45">
        <v>0.88</v>
      </c>
      <c r="E31">
        <v>0.15</v>
      </c>
      <c r="F31">
        <v>0.66504087593346106</v>
      </c>
      <c r="G31">
        <v>0.96504087593346111</v>
      </c>
      <c r="H31" t="s">
        <v>117</v>
      </c>
      <c r="I31" t="s">
        <v>158</v>
      </c>
      <c r="J31" t="s">
        <v>158</v>
      </c>
      <c r="L31" t="s">
        <v>58</v>
      </c>
      <c r="M31" t="s">
        <v>59</v>
      </c>
      <c r="N31" t="s">
        <v>60</v>
      </c>
      <c r="O31" t="s">
        <v>55</v>
      </c>
      <c r="P31" t="s">
        <v>157</v>
      </c>
      <c r="Q31" t="s">
        <v>65</v>
      </c>
      <c r="R31" t="s">
        <v>64</v>
      </c>
      <c r="S31" t="s">
        <v>71</v>
      </c>
      <c r="T31" t="s">
        <v>70</v>
      </c>
      <c r="U31" t="s">
        <v>74</v>
      </c>
      <c r="V31" t="s">
        <v>68</v>
      </c>
      <c r="W31" t="s">
        <v>73</v>
      </c>
      <c r="X31" t="s">
        <v>72</v>
      </c>
      <c r="Y31" t="s">
        <v>66</v>
      </c>
      <c r="Z31" t="s">
        <v>62</v>
      </c>
      <c r="AA31" t="s">
        <v>63</v>
      </c>
      <c r="AB31" t="s">
        <v>67</v>
      </c>
      <c r="AC31" t="s">
        <v>69</v>
      </c>
    </row>
    <row r="32" spans="1:54" x14ac:dyDescent="0.4">
      <c r="A32" s="1">
        <v>46009</v>
      </c>
      <c r="B32">
        <v>0.81504087593346108</v>
      </c>
      <c r="C32" s="45">
        <v>0.47</v>
      </c>
      <c r="D32" s="45">
        <v>0.88</v>
      </c>
      <c r="E32">
        <v>0.15</v>
      </c>
      <c r="F32">
        <v>0.66504087593346106</v>
      </c>
      <c r="G32">
        <v>0.96504087593346111</v>
      </c>
      <c r="H32" t="s">
        <v>117</v>
      </c>
      <c r="I32" t="s">
        <v>160</v>
      </c>
      <c r="J32" t="s">
        <v>160</v>
      </c>
      <c r="L32" t="s">
        <v>58</v>
      </c>
      <c r="M32" t="s">
        <v>59</v>
      </c>
      <c r="N32" t="s">
        <v>60</v>
      </c>
      <c r="O32" t="s">
        <v>55</v>
      </c>
      <c r="P32" t="s">
        <v>159</v>
      </c>
      <c r="Q32" t="s">
        <v>65</v>
      </c>
      <c r="R32" t="s">
        <v>64</v>
      </c>
      <c r="S32" t="s">
        <v>71</v>
      </c>
      <c r="T32" t="s">
        <v>70</v>
      </c>
      <c r="U32" t="s">
        <v>74</v>
      </c>
      <c r="V32" t="s">
        <v>68</v>
      </c>
      <c r="W32" t="s">
        <v>73</v>
      </c>
      <c r="X32" t="s">
        <v>72</v>
      </c>
      <c r="Y32" t="s">
        <v>66</v>
      </c>
      <c r="Z32" t="s">
        <v>62</v>
      </c>
      <c r="AA32" t="s">
        <v>63</v>
      </c>
      <c r="AB32" t="s">
        <v>67</v>
      </c>
      <c r="AC32" t="s">
        <v>69</v>
      </c>
    </row>
    <row r="33" spans="1:29" x14ac:dyDescent="0.4">
      <c r="A33" s="1">
        <v>46009</v>
      </c>
      <c r="B33">
        <v>0.81504087593346108</v>
      </c>
      <c r="C33" s="45">
        <v>0.47</v>
      </c>
      <c r="D33" s="45">
        <v>0.44</v>
      </c>
      <c r="E33">
        <v>0.25666371050525516</v>
      </c>
      <c r="F33">
        <v>0.55837716542820592</v>
      </c>
      <c r="G33">
        <v>1.0717045864387162</v>
      </c>
      <c r="H33" t="s">
        <v>117</v>
      </c>
      <c r="I33" t="s">
        <v>162</v>
      </c>
      <c r="J33" t="s">
        <v>162</v>
      </c>
      <c r="L33" t="s">
        <v>58</v>
      </c>
      <c r="M33" t="s">
        <v>59</v>
      </c>
      <c r="N33" t="s">
        <v>60</v>
      </c>
      <c r="O33" t="s">
        <v>55</v>
      </c>
      <c r="P33" t="s">
        <v>161</v>
      </c>
      <c r="Q33" t="s">
        <v>65</v>
      </c>
      <c r="R33" t="s">
        <v>64</v>
      </c>
      <c r="S33" t="s">
        <v>71</v>
      </c>
      <c r="T33" t="s">
        <v>70</v>
      </c>
      <c r="U33" t="s">
        <v>74</v>
      </c>
      <c r="V33" t="s">
        <v>68</v>
      </c>
      <c r="W33" t="s">
        <v>73</v>
      </c>
      <c r="X33" t="s">
        <v>72</v>
      </c>
      <c r="Y33" t="s">
        <v>66</v>
      </c>
      <c r="Z33" t="s">
        <v>62</v>
      </c>
      <c r="AA33" t="s">
        <v>63</v>
      </c>
      <c r="AB33" t="s">
        <v>67</v>
      </c>
      <c r="AC33" t="s">
        <v>69</v>
      </c>
    </row>
    <row r="34" spans="1:29" x14ac:dyDescent="0.4">
      <c r="A34" s="1">
        <v>46009</v>
      </c>
      <c r="B34">
        <v>0.81504087593346108</v>
      </c>
      <c r="C34" s="45">
        <v>0.47</v>
      </c>
      <c r="D34" s="45">
        <v>0.88</v>
      </c>
      <c r="E34">
        <v>0.15</v>
      </c>
      <c r="F34">
        <v>0.66504087593346106</v>
      </c>
      <c r="G34">
        <v>0.96504087593346111</v>
      </c>
      <c r="H34" t="s">
        <v>117</v>
      </c>
      <c r="I34" t="s">
        <v>164</v>
      </c>
      <c r="J34" t="s">
        <v>164</v>
      </c>
      <c r="L34" t="s">
        <v>58</v>
      </c>
      <c r="M34" t="s">
        <v>59</v>
      </c>
      <c r="N34" t="s">
        <v>60</v>
      </c>
      <c r="O34" t="s">
        <v>55</v>
      </c>
      <c r="P34" t="s">
        <v>163</v>
      </c>
      <c r="Q34" t="s">
        <v>65</v>
      </c>
      <c r="R34" t="s">
        <v>64</v>
      </c>
      <c r="S34" t="s">
        <v>71</v>
      </c>
      <c r="T34" t="s">
        <v>70</v>
      </c>
      <c r="U34" t="s">
        <v>74</v>
      </c>
      <c r="V34" t="s">
        <v>68</v>
      </c>
      <c r="W34" t="s">
        <v>73</v>
      </c>
      <c r="X34" t="s">
        <v>72</v>
      </c>
      <c r="Y34" t="s">
        <v>66</v>
      </c>
      <c r="Z34" t="s">
        <v>62</v>
      </c>
      <c r="AA34" t="s">
        <v>63</v>
      </c>
      <c r="AB34" t="s">
        <v>67</v>
      </c>
      <c r="AC34" t="s">
        <v>69</v>
      </c>
    </row>
    <row r="35" spans="1:29" x14ac:dyDescent="0.4">
      <c r="A35" s="1">
        <v>46009</v>
      </c>
      <c r="B35">
        <v>0.74947496215707643</v>
      </c>
      <c r="C35" s="45">
        <v>0.44</v>
      </c>
      <c r="D35" s="45">
        <v>0.88</v>
      </c>
      <c r="E35">
        <v>0.15</v>
      </c>
      <c r="F35">
        <v>0.59947496215707641</v>
      </c>
      <c r="G35">
        <v>0.89947496215707645</v>
      </c>
      <c r="H35" t="s">
        <v>117</v>
      </c>
      <c r="I35" t="s">
        <v>166</v>
      </c>
      <c r="J35" t="s">
        <v>166</v>
      </c>
      <c r="L35" t="s">
        <v>58</v>
      </c>
      <c r="M35" t="s">
        <v>59</v>
      </c>
      <c r="N35" t="s">
        <v>55</v>
      </c>
      <c r="O35" t="s">
        <v>165</v>
      </c>
      <c r="P35" t="s">
        <v>65</v>
      </c>
      <c r="Q35" t="s">
        <v>64</v>
      </c>
      <c r="R35" t="s">
        <v>71</v>
      </c>
      <c r="S35" t="s">
        <v>70</v>
      </c>
    </row>
    <row r="36" spans="1:29" x14ac:dyDescent="0.4">
      <c r="A36" s="1">
        <v>46009</v>
      </c>
      <c r="B36">
        <v>0.48581053785135864</v>
      </c>
      <c r="C36" s="45">
        <v>0.47</v>
      </c>
      <c r="D36" s="45">
        <v>0.88</v>
      </c>
      <c r="E36">
        <v>0.15</v>
      </c>
      <c r="F36">
        <v>0.33581053785135861</v>
      </c>
      <c r="G36">
        <v>0.63581053785135866</v>
      </c>
      <c r="H36" t="s">
        <v>117</v>
      </c>
      <c r="I36" t="s">
        <v>168</v>
      </c>
      <c r="J36" t="s">
        <v>168</v>
      </c>
      <c r="L36" t="s">
        <v>58</v>
      </c>
      <c r="M36" t="s">
        <v>59</v>
      </c>
      <c r="N36" t="s">
        <v>60</v>
      </c>
      <c r="O36" t="s">
        <v>55</v>
      </c>
      <c r="P36" t="s">
        <v>167</v>
      </c>
      <c r="Q36" t="s">
        <v>65</v>
      </c>
      <c r="R36" t="s">
        <v>64</v>
      </c>
      <c r="S36" t="s">
        <v>71</v>
      </c>
      <c r="T36" t="s">
        <v>70</v>
      </c>
      <c r="U36" t="s">
        <v>74</v>
      </c>
      <c r="V36" t="s">
        <v>68</v>
      </c>
      <c r="W36" t="s">
        <v>73</v>
      </c>
      <c r="X36" t="s">
        <v>72</v>
      </c>
      <c r="Y36" t="s">
        <v>66</v>
      </c>
      <c r="Z36" t="s">
        <v>62</v>
      </c>
      <c r="AA36" t="s">
        <v>63</v>
      </c>
      <c r="AB36" t="s">
        <v>67</v>
      </c>
      <c r="AC36" t="s">
        <v>69</v>
      </c>
    </row>
    <row r="37" spans="1:29" x14ac:dyDescent="0.4">
      <c r="A37" s="1">
        <v>46009</v>
      </c>
      <c r="B37">
        <v>0.55855463769376468</v>
      </c>
      <c r="C37" s="45">
        <v>0.47</v>
      </c>
      <c r="D37" s="45">
        <v>0.88</v>
      </c>
      <c r="E37">
        <v>0.15</v>
      </c>
      <c r="F37">
        <v>0.40855463769376466</v>
      </c>
      <c r="G37">
        <v>0.7085546376937647</v>
      </c>
      <c r="H37" t="s">
        <v>117</v>
      </c>
      <c r="I37" t="s">
        <v>171</v>
      </c>
      <c r="J37" t="s">
        <v>171</v>
      </c>
      <c r="L37" t="s">
        <v>58</v>
      </c>
      <c r="M37" t="s">
        <v>59</v>
      </c>
      <c r="N37" t="s">
        <v>60</v>
      </c>
      <c r="O37" t="s">
        <v>55</v>
      </c>
      <c r="P37" t="s">
        <v>170</v>
      </c>
      <c r="Q37" t="s">
        <v>65</v>
      </c>
      <c r="R37" t="s">
        <v>64</v>
      </c>
      <c r="S37" t="s">
        <v>71</v>
      </c>
      <c r="T37" t="s">
        <v>70</v>
      </c>
      <c r="U37" t="s">
        <v>74</v>
      </c>
      <c r="V37" t="s">
        <v>68</v>
      </c>
      <c r="W37" t="s">
        <v>73</v>
      </c>
      <c r="X37" t="s">
        <v>72</v>
      </c>
      <c r="Y37" t="s">
        <v>66</v>
      </c>
      <c r="Z37" t="s">
        <v>62</v>
      </c>
      <c r="AA37" t="s">
        <v>63</v>
      </c>
      <c r="AB37" t="s">
        <v>67</v>
      </c>
      <c r="AC37" t="s">
        <v>69</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7BB22-A19A-404F-8113-FCDA6D177D04}">
  <dimension ref="A1:BB37"/>
  <sheetViews>
    <sheetView showGridLines="0" zoomScale="55" zoomScaleNormal="55" workbookViewId="0">
      <selection activeCell="A37" sqref="A37:K37"/>
    </sheetView>
  </sheetViews>
  <sheetFormatPr defaultRowHeight="14.6" x14ac:dyDescent="0.4"/>
  <cols>
    <col min="1" max="11" width="9.53515625" customWidth="1"/>
    <col min="12" max="12" width="13.61328125" customWidth="1"/>
    <col min="13" max="13" width="14.61328125" customWidth="1"/>
    <col min="14" max="15" width="23.61328125" customWidth="1"/>
    <col min="16" max="16" width="7.765625" customWidth="1"/>
    <col min="17" max="17" width="14.61328125" customWidth="1"/>
    <col min="18" max="18" width="15.61328125" customWidth="1"/>
    <col min="19" max="19" width="8.765625" customWidth="1"/>
    <col min="20" max="20" width="7.765625" customWidth="1"/>
    <col min="21" max="21" width="8.765625" customWidth="1"/>
    <col min="22" max="22" width="14.61328125" customWidth="1"/>
    <col min="23" max="23" width="7.765625" customWidth="1"/>
    <col min="24" max="24" width="14" customWidth="1"/>
    <col min="25" max="25" width="15.61328125" customWidth="1"/>
    <col min="26" max="26" width="13.61328125" customWidth="1"/>
    <col min="27" max="28" width="8.765625" customWidth="1"/>
    <col min="29" max="29" width="11.69140625" customWidth="1"/>
    <col min="30" max="52" width="9.53515625" customWidth="1"/>
    <col min="53" max="53" width="57.53515625" customWidth="1"/>
    <col min="54" max="54" width="9.15234375"/>
  </cols>
  <sheetData>
    <row r="1" spans="1:54" x14ac:dyDescent="0.4">
      <c r="A1" s="27" t="s">
        <v>0</v>
      </c>
      <c r="B1" s="27" t="s">
        <v>105</v>
      </c>
      <c r="C1" s="27" t="s">
        <v>106</v>
      </c>
      <c r="D1" s="27" t="s">
        <v>107</v>
      </c>
      <c r="E1" s="27" t="s">
        <v>108</v>
      </c>
      <c r="F1" s="27" t="s">
        <v>109</v>
      </c>
      <c r="G1" s="27" t="s">
        <v>110</v>
      </c>
      <c r="H1" s="27" t="s">
        <v>15</v>
      </c>
      <c r="I1" s="27" t="s">
        <v>111</v>
      </c>
      <c r="J1" s="27" t="s">
        <v>1</v>
      </c>
      <c r="L1" s="27" t="s">
        <v>58</v>
      </c>
      <c r="M1" s="27" t="s">
        <v>59</v>
      </c>
      <c r="N1" s="27" t="s">
        <v>60</v>
      </c>
      <c r="O1" t="s">
        <v>55</v>
      </c>
      <c r="Q1" s="27" t="s">
        <v>62</v>
      </c>
      <c r="R1" s="27" t="s">
        <v>68</v>
      </c>
      <c r="S1" s="27" t="s">
        <v>63</v>
      </c>
      <c r="T1" s="27" t="s">
        <v>65</v>
      </c>
      <c r="U1" s="27" t="s">
        <v>67</v>
      </c>
      <c r="V1" s="27" t="s">
        <v>66</v>
      </c>
      <c r="W1" s="27" t="s">
        <v>71</v>
      </c>
      <c r="X1" s="27" t="s">
        <v>69</v>
      </c>
      <c r="Y1" s="27" t="s">
        <v>73</v>
      </c>
      <c r="Z1" s="27" t="s">
        <v>70</v>
      </c>
      <c r="AA1" s="27" t="s">
        <v>64</v>
      </c>
      <c r="AB1" s="27" t="s">
        <v>72</v>
      </c>
      <c r="AC1" s="27" t="s">
        <v>74</v>
      </c>
      <c r="AZ1" s="18"/>
      <c r="BA1" s="18"/>
      <c r="BB1" s="18"/>
    </row>
    <row r="2" spans="1:54" ht="15.45" x14ac:dyDescent="0.4">
      <c r="A2" s="1">
        <v>45546</v>
      </c>
      <c r="B2">
        <v>0.82494411288715996</v>
      </c>
      <c r="C2" s="45">
        <v>0</v>
      </c>
      <c r="D2" s="45">
        <v>0.49</v>
      </c>
      <c r="E2">
        <v>0.37567308461764848</v>
      </c>
      <c r="F2">
        <v>0.44927102826951149</v>
      </c>
      <c r="G2">
        <v>1.2006171975048083</v>
      </c>
      <c r="I2" s="1"/>
      <c r="AZ2" s="18"/>
      <c r="BA2" s="67" t="s">
        <v>53</v>
      </c>
      <c r="BB2" s="18"/>
    </row>
    <row r="3" spans="1:54" x14ac:dyDescent="0.4">
      <c r="A3" s="1">
        <v>45547</v>
      </c>
      <c r="B3">
        <v>0.55540442232637477</v>
      </c>
      <c r="C3" s="45">
        <v>0</v>
      </c>
      <c r="D3" s="45">
        <v>0.41</v>
      </c>
      <c r="E3">
        <v>0.34319714271971913</v>
      </c>
      <c r="F3">
        <v>0.21220727960665564</v>
      </c>
      <c r="G3">
        <v>0.8986015650460939</v>
      </c>
      <c r="I3" s="1">
        <v>45546</v>
      </c>
      <c r="J3">
        <v>0.82494411288715996</v>
      </c>
      <c r="L3">
        <v>-0.18783712483857981</v>
      </c>
      <c r="M3">
        <v>-3.3882510160861599E-2</v>
      </c>
      <c r="N3">
        <v>-5.8916918082321544E-2</v>
      </c>
      <c r="O3">
        <v>1.1096862520975859E-2</v>
      </c>
      <c r="Q3">
        <v>-3.1517881932194007E-2</v>
      </c>
      <c r="R3">
        <v>-2.3646282286675941E-3</v>
      </c>
      <c r="S3">
        <v>0</v>
      </c>
      <c r="T3">
        <v>0</v>
      </c>
      <c r="U3">
        <v>0</v>
      </c>
      <c r="V3">
        <v>-7.4289068189718907E-2</v>
      </c>
      <c r="W3">
        <v>0</v>
      </c>
      <c r="X3">
        <v>1.5372150107397366E-2</v>
      </c>
      <c r="Y3">
        <v>-4.9814857155948142E-3</v>
      </c>
      <c r="Z3">
        <v>-0.182855639122985</v>
      </c>
      <c r="AA3">
        <v>0</v>
      </c>
      <c r="AB3">
        <v>0</v>
      </c>
      <c r="AC3">
        <v>0</v>
      </c>
      <c r="AZ3" s="18"/>
      <c r="BA3" s="68" t="s">
        <v>52</v>
      </c>
      <c r="BB3" s="18"/>
    </row>
    <row r="4" spans="1:54" x14ac:dyDescent="0.4">
      <c r="A4" s="1">
        <v>45979</v>
      </c>
      <c r="B4">
        <v>1.0878795103679406</v>
      </c>
      <c r="C4" s="45">
        <v>0</v>
      </c>
      <c r="D4" s="45">
        <v>0.85</v>
      </c>
      <c r="E4">
        <v>0.24</v>
      </c>
      <c r="F4">
        <v>0.84787951036794063</v>
      </c>
      <c r="G4">
        <v>1.3278795103679406</v>
      </c>
      <c r="I4" s="1" t="s">
        <v>117</v>
      </c>
      <c r="L4" t="s">
        <v>58</v>
      </c>
      <c r="M4" t="s">
        <v>59</v>
      </c>
      <c r="N4" t="s">
        <v>60</v>
      </c>
      <c r="O4" t="s">
        <v>55</v>
      </c>
      <c r="P4" t="s">
        <v>118</v>
      </c>
      <c r="Q4" t="s">
        <v>65</v>
      </c>
      <c r="R4" t="s">
        <v>64</v>
      </c>
      <c r="S4" t="s">
        <v>71</v>
      </c>
      <c r="T4" t="s">
        <v>70</v>
      </c>
      <c r="U4" t="s">
        <v>74</v>
      </c>
      <c r="V4" t="s">
        <v>68</v>
      </c>
      <c r="W4" t="s">
        <v>73</v>
      </c>
      <c r="X4" t="s">
        <v>72</v>
      </c>
      <c r="Y4" t="s">
        <v>66</v>
      </c>
      <c r="Z4" t="s">
        <v>62</v>
      </c>
      <c r="AA4" t="s">
        <v>63</v>
      </c>
      <c r="AB4" t="s">
        <v>67</v>
      </c>
      <c r="AC4" t="s">
        <v>69</v>
      </c>
      <c r="AZ4" s="18"/>
      <c r="BA4" s="19"/>
      <c r="BB4" s="18"/>
    </row>
    <row r="5" spans="1:54" x14ac:dyDescent="0.4">
      <c r="A5" s="1">
        <v>45979</v>
      </c>
      <c r="B5">
        <v>1.0878795103679406</v>
      </c>
      <c r="C5" s="45">
        <v>0</v>
      </c>
      <c r="D5" s="45">
        <v>0.85</v>
      </c>
      <c r="E5">
        <v>0.24</v>
      </c>
      <c r="F5">
        <v>0.84787951036794063</v>
      </c>
      <c r="G5">
        <v>1.3278795103679406</v>
      </c>
      <c r="I5" s="1" t="s">
        <v>117</v>
      </c>
      <c r="L5" t="s">
        <v>58</v>
      </c>
      <c r="M5" t="s">
        <v>59</v>
      </c>
      <c r="N5" t="s">
        <v>60</v>
      </c>
      <c r="O5" t="s">
        <v>55</v>
      </c>
      <c r="P5" t="s">
        <v>120</v>
      </c>
      <c r="Q5" t="s">
        <v>65</v>
      </c>
      <c r="R5" t="s">
        <v>64</v>
      </c>
      <c r="S5" t="s">
        <v>71</v>
      </c>
      <c r="T5" t="s">
        <v>70</v>
      </c>
      <c r="U5" t="s">
        <v>74</v>
      </c>
      <c r="V5" t="s">
        <v>68</v>
      </c>
      <c r="W5" t="s">
        <v>73</v>
      </c>
      <c r="X5" t="s">
        <v>72</v>
      </c>
      <c r="Y5" t="s">
        <v>66</v>
      </c>
      <c r="Z5" t="s">
        <v>62</v>
      </c>
      <c r="AA5" t="s">
        <v>63</v>
      </c>
      <c r="AB5" t="s">
        <v>67</v>
      </c>
      <c r="AC5" t="s">
        <v>69</v>
      </c>
      <c r="AZ5" s="18"/>
      <c r="BA5" s="19"/>
      <c r="BB5" s="18"/>
    </row>
    <row r="6" spans="1:54" x14ac:dyDescent="0.4">
      <c r="A6" s="1">
        <v>45980</v>
      </c>
      <c r="B6">
        <v>0.30423539039701897</v>
      </c>
      <c r="C6" s="45">
        <v>0</v>
      </c>
      <c r="D6" s="45">
        <v>0.85</v>
      </c>
      <c r="E6">
        <v>0.24</v>
      </c>
      <c r="F6">
        <v>6.4235390397018977E-2</v>
      </c>
      <c r="G6">
        <v>0.54423539039701896</v>
      </c>
      <c r="I6" s="1" t="s">
        <v>117</v>
      </c>
      <c r="L6" t="s">
        <v>58</v>
      </c>
      <c r="M6" t="s">
        <v>59</v>
      </c>
      <c r="N6" t="s">
        <v>60</v>
      </c>
      <c r="O6" t="s">
        <v>55</v>
      </c>
      <c r="P6" t="s">
        <v>122</v>
      </c>
      <c r="Q6" t="s">
        <v>65</v>
      </c>
      <c r="R6" t="s">
        <v>64</v>
      </c>
      <c r="S6" t="s">
        <v>71</v>
      </c>
      <c r="T6" t="s">
        <v>70</v>
      </c>
      <c r="U6" t="s">
        <v>74</v>
      </c>
      <c r="V6" t="s">
        <v>68</v>
      </c>
      <c r="W6" t="s">
        <v>73</v>
      </c>
      <c r="X6" t="s">
        <v>72</v>
      </c>
      <c r="Y6" t="s">
        <v>66</v>
      </c>
      <c r="Z6" t="s">
        <v>62</v>
      </c>
      <c r="AA6" t="s">
        <v>63</v>
      </c>
      <c r="AB6" t="s">
        <v>67</v>
      </c>
      <c r="AC6" t="s">
        <v>69</v>
      </c>
      <c r="AZ6" s="18"/>
      <c r="BA6" s="19"/>
      <c r="BB6" s="18"/>
    </row>
    <row r="7" spans="1:54" x14ac:dyDescent="0.4">
      <c r="A7" s="1">
        <v>45980</v>
      </c>
      <c r="B7">
        <v>0.61434105290898844</v>
      </c>
      <c r="C7" s="45">
        <v>0</v>
      </c>
      <c r="D7" s="45">
        <v>0.85</v>
      </c>
      <c r="E7">
        <v>0.24</v>
      </c>
      <c r="F7">
        <v>0.37434105290898845</v>
      </c>
      <c r="G7">
        <v>0.85434105290898843</v>
      </c>
      <c r="I7" s="1" t="s">
        <v>117</v>
      </c>
      <c r="L7" t="s">
        <v>58</v>
      </c>
      <c r="M7" t="s">
        <v>59</v>
      </c>
      <c r="N7" t="s">
        <v>60</v>
      </c>
      <c r="O7" t="s">
        <v>55</v>
      </c>
      <c r="P7" t="s">
        <v>124</v>
      </c>
      <c r="Q7" t="s">
        <v>65</v>
      </c>
      <c r="R7" t="s">
        <v>64</v>
      </c>
      <c r="S7" t="s">
        <v>71</v>
      </c>
      <c r="T7" t="s">
        <v>70</v>
      </c>
      <c r="U7" t="s">
        <v>74</v>
      </c>
      <c r="V7" t="s">
        <v>68</v>
      </c>
      <c r="W7" t="s">
        <v>73</v>
      </c>
      <c r="X7" t="s">
        <v>72</v>
      </c>
      <c r="Y7" t="s">
        <v>66</v>
      </c>
      <c r="Z7" t="s">
        <v>62</v>
      </c>
      <c r="AA7" t="s">
        <v>63</v>
      </c>
      <c r="AB7" t="s">
        <v>67</v>
      </c>
      <c r="AC7" t="s">
        <v>69</v>
      </c>
      <c r="AZ7" s="18"/>
      <c r="BA7" s="19"/>
      <c r="BB7" s="18"/>
    </row>
    <row r="8" spans="1:54" x14ac:dyDescent="0.4">
      <c r="A8" s="1">
        <v>45980</v>
      </c>
      <c r="B8">
        <v>0.30423539039701897</v>
      </c>
      <c r="C8" s="45">
        <v>0</v>
      </c>
      <c r="D8" s="45">
        <v>0.85</v>
      </c>
      <c r="E8">
        <v>0.24</v>
      </c>
      <c r="F8">
        <v>6.4235390397018977E-2</v>
      </c>
      <c r="G8">
        <v>0.54423539039701896</v>
      </c>
      <c r="I8" s="1" t="s">
        <v>117</v>
      </c>
      <c r="L8" t="s">
        <v>58</v>
      </c>
      <c r="M8" t="s">
        <v>59</v>
      </c>
      <c r="N8" t="s">
        <v>60</v>
      </c>
      <c r="O8" t="s">
        <v>55</v>
      </c>
      <c r="P8" t="s">
        <v>126</v>
      </c>
      <c r="Q8" t="s">
        <v>65</v>
      </c>
      <c r="R8" t="s">
        <v>64</v>
      </c>
      <c r="S8" t="s">
        <v>71</v>
      </c>
      <c r="T8" t="s">
        <v>70</v>
      </c>
      <c r="U8" t="s">
        <v>74</v>
      </c>
      <c r="V8" t="s">
        <v>68</v>
      </c>
      <c r="W8" t="s">
        <v>73</v>
      </c>
      <c r="X8" t="s">
        <v>72</v>
      </c>
      <c r="Y8" t="s">
        <v>66</v>
      </c>
      <c r="Z8" t="s">
        <v>62</v>
      </c>
      <c r="AA8" t="s">
        <v>63</v>
      </c>
      <c r="AB8" t="s">
        <v>67</v>
      </c>
      <c r="AC8" t="s">
        <v>69</v>
      </c>
      <c r="AZ8" s="18"/>
      <c r="BA8" s="19"/>
      <c r="BB8" s="18"/>
    </row>
    <row r="9" spans="1:54" x14ac:dyDescent="0.4">
      <c r="A9" s="1">
        <v>45980</v>
      </c>
      <c r="B9">
        <v>0.30423539039701897</v>
      </c>
      <c r="C9" s="45">
        <v>0</v>
      </c>
      <c r="D9" s="45">
        <v>0.85</v>
      </c>
      <c r="E9">
        <v>0.24</v>
      </c>
      <c r="F9">
        <v>6.4235390397018977E-2</v>
      </c>
      <c r="G9">
        <v>0.54423539039701896</v>
      </c>
      <c r="I9" s="1">
        <v>45980</v>
      </c>
      <c r="J9">
        <v>0.30423539039701897</v>
      </c>
      <c r="L9">
        <v>0</v>
      </c>
      <c r="M9">
        <v>0</v>
      </c>
      <c r="N9">
        <v>0</v>
      </c>
      <c r="O9">
        <v>0</v>
      </c>
      <c r="Q9">
        <v>0</v>
      </c>
      <c r="R9">
        <v>0</v>
      </c>
      <c r="S9">
        <v>0</v>
      </c>
      <c r="T9">
        <v>0</v>
      </c>
      <c r="U9">
        <v>0</v>
      </c>
      <c r="V9">
        <v>0</v>
      </c>
      <c r="W9">
        <v>0</v>
      </c>
      <c r="X9">
        <v>0</v>
      </c>
      <c r="Y9">
        <v>0</v>
      </c>
      <c r="Z9">
        <v>0</v>
      </c>
      <c r="AA9">
        <v>0</v>
      </c>
      <c r="AB9">
        <v>0</v>
      </c>
      <c r="AC9">
        <v>0</v>
      </c>
      <c r="AZ9" s="18"/>
      <c r="BA9" s="19"/>
      <c r="BB9" s="18"/>
    </row>
    <row r="10" spans="1:54" x14ac:dyDescent="0.4">
      <c r="A10" s="1">
        <v>45980</v>
      </c>
      <c r="B10">
        <v>0.30423539039701897</v>
      </c>
      <c r="C10" s="45">
        <v>0</v>
      </c>
      <c r="D10" s="45">
        <v>0.85</v>
      </c>
      <c r="E10">
        <v>0.24</v>
      </c>
      <c r="F10">
        <v>6.4235390397018977E-2</v>
      </c>
      <c r="G10">
        <v>0.54423539039701896</v>
      </c>
      <c r="I10" s="1">
        <v>45980</v>
      </c>
      <c r="J10">
        <v>0.30423539039701897</v>
      </c>
      <c r="L10">
        <v>0</v>
      </c>
      <c r="M10">
        <v>0</v>
      </c>
      <c r="N10">
        <v>0</v>
      </c>
      <c r="O10">
        <v>0</v>
      </c>
      <c r="Q10">
        <v>0</v>
      </c>
      <c r="R10">
        <v>0</v>
      </c>
      <c r="S10">
        <v>0</v>
      </c>
      <c r="T10">
        <v>0</v>
      </c>
      <c r="U10">
        <v>0</v>
      </c>
      <c r="V10">
        <v>0</v>
      </c>
      <c r="W10">
        <v>0</v>
      </c>
      <c r="X10">
        <v>0</v>
      </c>
      <c r="Y10">
        <v>0</v>
      </c>
      <c r="Z10">
        <v>0</v>
      </c>
      <c r="AA10">
        <v>0</v>
      </c>
      <c r="AB10">
        <v>0</v>
      </c>
      <c r="AC10">
        <v>0</v>
      </c>
      <c r="AZ10" s="18"/>
      <c r="BA10" s="19"/>
      <c r="BB10" s="18"/>
    </row>
    <row r="11" spans="1:54" x14ac:dyDescent="0.4">
      <c r="A11" s="1">
        <v>45980</v>
      </c>
      <c r="B11">
        <v>0.30423539039701897</v>
      </c>
      <c r="C11" s="45">
        <v>0</v>
      </c>
      <c r="D11" s="45">
        <v>0.85</v>
      </c>
      <c r="E11">
        <v>0.24</v>
      </c>
      <c r="F11">
        <v>6.4235390397018977E-2</v>
      </c>
      <c r="G11">
        <v>0.54423539039701896</v>
      </c>
      <c r="I11" s="1">
        <v>45980</v>
      </c>
      <c r="J11">
        <v>0.30423539039701897</v>
      </c>
      <c r="L11">
        <v>0</v>
      </c>
      <c r="M11">
        <v>0</v>
      </c>
      <c r="N11">
        <v>0</v>
      </c>
      <c r="O11">
        <v>0</v>
      </c>
      <c r="Q11">
        <v>0</v>
      </c>
      <c r="R11">
        <v>0</v>
      </c>
      <c r="S11">
        <v>0</v>
      </c>
      <c r="T11">
        <v>0</v>
      </c>
      <c r="U11">
        <v>0</v>
      </c>
      <c r="V11">
        <v>0</v>
      </c>
      <c r="W11">
        <v>0</v>
      </c>
      <c r="X11">
        <v>0</v>
      </c>
      <c r="Y11">
        <v>0</v>
      </c>
      <c r="Z11">
        <v>0</v>
      </c>
      <c r="AA11">
        <v>0</v>
      </c>
      <c r="AB11">
        <v>0</v>
      </c>
      <c r="AC11">
        <v>0</v>
      </c>
      <c r="AZ11" s="18"/>
      <c r="BA11" s="19"/>
      <c r="BB11" s="18"/>
    </row>
    <row r="12" spans="1:54" x14ac:dyDescent="0.4">
      <c r="A12" s="1">
        <v>45980</v>
      </c>
      <c r="B12">
        <v>0.30423539039701897</v>
      </c>
      <c r="C12" s="45">
        <v>0</v>
      </c>
      <c r="D12" s="45">
        <v>0.51</v>
      </c>
      <c r="E12">
        <v>0.29831256938944589</v>
      </c>
      <c r="F12">
        <v>5.9228210075730758E-3</v>
      </c>
      <c r="G12">
        <v>0.60254795978646492</v>
      </c>
      <c r="I12" s="1">
        <v>45980</v>
      </c>
      <c r="J12">
        <v>0.30423539039701897</v>
      </c>
      <c r="L12">
        <v>0</v>
      </c>
      <c r="M12">
        <v>0</v>
      </c>
      <c r="N12">
        <v>0</v>
      </c>
      <c r="O12">
        <v>0</v>
      </c>
      <c r="Q12">
        <v>0</v>
      </c>
      <c r="R12">
        <v>0</v>
      </c>
      <c r="S12">
        <v>0</v>
      </c>
      <c r="T12">
        <v>0</v>
      </c>
      <c r="U12">
        <v>0</v>
      </c>
      <c r="V12">
        <v>0</v>
      </c>
      <c r="W12">
        <v>0</v>
      </c>
      <c r="X12">
        <v>0</v>
      </c>
      <c r="Y12">
        <v>0</v>
      </c>
      <c r="Z12">
        <v>0</v>
      </c>
      <c r="AA12">
        <v>0</v>
      </c>
      <c r="AB12">
        <v>0</v>
      </c>
      <c r="AC12">
        <v>0</v>
      </c>
      <c r="AZ12" s="18"/>
      <c r="BA12" s="19"/>
      <c r="BB12" s="18"/>
    </row>
    <row r="13" spans="1:54" x14ac:dyDescent="0.4">
      <c r="A13" s="1">
        <v>45982</v>
      </c>
      <c r="B13">
        <v>1.0878795103679406</v>
      </c>
      <c r="C13" s="45">
        <v>0</v>
      </c>
      <c r="D13" s="45">
        <v>0.85</v>
      </c>
      <c r="E13">
        <v>0.24</v>
      </c>
      <c r="F13">
        <v>0.84787951036794063</v>
      </c>
      <c r="G13">
        <v>1.3278795103679406</v>
      </c>
      <c r="I13" s="1" t="s">
        <v>117</v>
      </c>
      <c r="L13" t="s">
        <v>58</v>
      </c>
      <c r="M13" t="s">
        <v>59</v>
      </c>
      <c r="N13" t="s">
        <v>60</v>
      </c>
      <c r="O13" t="s">
        <v>55</v>
      </c>
      <c r="P13" t="s">
        <v>128</v>
      </c>
      <c r="Q13" t="s">
        <v>65</v>
      </c>
      <c r="R13" t="s">
        <v>64</v>
      </c>
      <c r="S13" t="s">
        <v>71</v>
      </c>
      <c r="T13" t="s">
        <v>70</v>
      </c>
      <c r="U13" t="s">
        <v>74</v>
      </c>
      <c r="V13" t="s">
        <v>68</v>
      </c>
      <c r="W13" t="s">
        <v>73</v>
      </c>
      <c r="X13" t="s">
        <v>72</v>
      </c>
      <c r="Y13" t="s">
        <v>66</v>
      </c>
      <c r="Z13" t="s">
        <v>62</v>
      </c>
      <c r="AA13" t="s">
        <v>63</v>
      </c>
      <c r="AB13" t="s">
        <v>67</v>
      </c>
      <c r="AC13" t="s">
        <v>69</v>
      </c>
      <c r="AZ13" s="18"/>
      <c r="BA13" s="19"/>
      <c r="BB13" s="18"/>
    </row>
    <row r="14" spans="1:54" x14ac:dyDescent="0.4">
      <c r="A14" s="1">
        <v>45982</v>
      </c>
      <c r="B14">
        <v>1.0878795103679406</v>
      </c>
      <c r="C14" s="45">
        <v>0</v>
      </c>
      <c r="D14" s="45">
        <v>0.85</v>
      </c>
      <c r="E14">
        <v>0.24</v>
      </c>
      <c r="F14">
        <v>0.84787951036794063</v>
      </c>
      <c r="G14">
        <v>1.3278795103679406</v>
      </c>
      <c r="I14" s="1" t="s">
        <v>117</v>
      </c>
      <c r="L14" t="s">
        <v>58</v>
      </c>
      <c r="M14" t="s">
        <v>59</v>
      </c>
      <c r="N14" t="s">
        <v>60</v>
      </c>
      <c r="O14" t="s">
        <v>55</v>
      </c>
      <c r="P14" t="s">
        <v>130</v>
      </c>
      <c r="Q14" t="s">
        <v>65</v>
      </c>
      <c r="R14" t="s">
        <v>64</v>
      </c>
      <c r="S14" t="s">
        <v>71</v>
      </c>
      <c r="T14" t="s">
        <v>70</v>
      </c>
      <c r="U14" t="s">
        <v>74</v>
      </c>
      <c r="V14" t="s">
        <v>68</v>
      </c>
      <c r="W14" t="s">
        <v>73</v>
      </c>
      <c r="X14" t="s">
        <v>72</v>
      </c>
      <c r="Y14" t="s">
        <v>66</v>
      </c>
      <c r="Z14" t="s">
        <v>62</v>
      </c>
      <c r="AA14" t="s">
        <v>63</v>
      </c>
      <c r="AB14" t="s">
        <v>67</v>
      </c>
      <c r="AC14" t="s">
        <v>69</v>
      </c>
      <c r="AZ14" s="18"/>
      <c r="BA14" s="19"/>
      <c r="BB14" s="18"/>
    </row>
    <row r="15" spans="1:54" x14ac:dyDescent="0.4">
      <c r="A15" s="1">
        <v>45982</v>
      </c>
      <c r="B15">
        <v>1.0878795103679406</v>
      </c>
      <c r="C15" s="45">
        <v>0</v>
      </c>
      <c r="D15" s="45">
        <v>0.32</v>
      </c>
      <c r="E15">
        <v>0.30540561670360467</v>
      </c>
      <c r="F15">
        <v>0.78247389366433595</v>
      </c>
      <c r="G15">
        <v>1.3932851270715454</v>
      </c>
      <c r="I15" s="1" t="s">
        <v>117</v>
      </c>
      <c r="L15" t="s">
        <v>58</v>
      </c>
      <c r="M15" t="s">
        <v>59</v>
      </c>
      <c r="N15" t="s">
        <v>60</v>
      </c>
      <c r="O15" t="s">
        <v>55</v>
      </c>
      <c r="P15" t="s">
        <v>132</v>
      </c>
      <c r="Q15" t="s">
        <v>65</v>
      </c>
      <c r="R15" t="s">
        <v>64</v>
      </c>
      <c r="S15" t="s">
        <v>71</v>
      </c>
      <c r="T15" t="s">
        <v>70</v>
      </c>
      <c r="U15" t="s">
        <v>74</v>
      </c>
      <c r="V15" t="s">
        <v>68</v>
      </c>
      <c r="W15" t="s">
        <v>73</v>
      </c>
      <c r="X15" t="s">
        <v>72</v>
      </c>
      <c r="Y15" t="s">
        <v>66</v>
      </c>
      <c r="Z15" t="s">
        <v>62</v>
      </c>
      <c r="AA15" t="s">
        <v>63</v>
      </c>
      <c r="AB15" t="s">
        <v>67</v>
      </c>
      <c r="AC15" t="s">
        <v>69</v>
      </c>
      <c r="AZ15" s="18"/>
      <c r="BA15" s="19"/>
      <c r="BB15" s="18"/>
    </row>
    <row r="16" spans="1:54" x14ac:dyDescent="0.4">
      <c r="A16" s="1">
        <v>45982</v>
      </c>
      <c r="B16">
        <v>1.0878795103679406</v>
      </c>
      <c r="C16" s="45">
        <v>0</v>
      </c>
      <c r="D16" s="45">
        <v>0.32</v>
      </c>
      <c r="E16">
        <v>0.30540561670360467</v>
      </c>
      <c r="F16">
        <v>0.78247389366433595</v>
      </c>
      <c r="G16">
        <v>1.3932851270715454</v>
      </c>
      <c r="I16" t="s">
        <v>117</v>
      </c>
      <c r="L16" t="s">
        <v>58</v>
      </c>
      <c r="M16" t="s">
        <v>59</v>
      </c>
      <c r="N16" t="s">
        <v>60</v>
      </c>
      <c r="O16" t="s">
        <v>55</v>
      </c>
      <c r="P16" t="s">
        <v>134</v>
      </c>
      <c r="Q16" t="s">
        <v>65</v>
      </c>
      <c r="R16" t="s">
        <v>64</v>
      </c>
      <c r="S16" t="s">
        <v>71</v>
      </c>
      <c r="T16" t="s">
        <v>70</v>
      </c>
      <c r="U16" t="s">
        <v>74</v>
      </c>
      <c r="V16" t="s">
        <v>68</v>
      </c>
      <c r="W16" t="s">
        <v>73</v>
      </c>
      <c r="X16" t="s">
        <v>72</v>
      </c>
      <c r="Y16" t="s">
        <v>66</v>
      </c>
      <c r="Z16" t="s">
        <v>62</v>
      </c>
      <c r="AA16" t="s">
        <v>63</v>
      </c>
      <c r="AB16" t="s">
        <v>67</v>
      </c>
      <c r="AC16" t="s">
        <v>69</v>
      </c>
      <c r="AZ16" s="18"/>
      <c r="BA16" s="19"/>
      <c r="BB16" s="18"/>
    </row>
    <row r="17" spans="1:54" x14ac:dyDescent="0.4">
      <c r="A17" s="1">
        <v>45982</v>
      </c>
      <c r="B17">
        <v>0.61434105290898844</v>
      </c>
      <c r="C17" s="45">
        <v>0</v>
      </c>
      <c r="D17" s="45">
        <v>0.85</v>
      </c>
      <c r="E17">
        <v>0.24</v>
      </c>
      <c r="F17">
        <v>0.37434105290898845</v>
      </c>
      <c r="G17">
        <v>0.85434105290898843</v>
      </c>
      <c r="I17" s="1" t="s">
        <v>117</v>
      </c>
      <c r="L17" t="s">
        <v>58</v>
      </c>
      <c r="M17" t="s">
        <v>59</v>
      </c>
      <c r="N17" t="s">
        <v>60</v>
      </c>
      <c r="O17" t="s">
        <v>55</v>
      </c>
      <c r="P17" t="s">
        <v>136</v>
      </c>
      <c r="Q17" t="s">
        <v>65</v>
      </c>
      <c r="R17" t="s">
        <v>64</v>
      </c>
      <c r="S17" t="s">
        <v>71</v>
      </c>
      <c r="T17" t="s">
        <v>70</v>
      </c>
      <c r="U17" t="s">
        <v>74</v>
      </c>
      <c r="V17" t="s">
        <v>68</v>
      </c>
      <c r="W17" t="s">
        <v>73</v>
      </c>
      <c r="X17" t="s">
        <v>72</v>
      </c>
      <c r="Y17" t="s">
        <v>66</v>
      </c>
      <c r="Z17" t="s">
        <v>62</v>
      </c>
      <c r="AA17" t="s">
        <v>63</v>
      </c>
      <c r="AB17" t="s">
        <v>67</v>
      </c>
      <c r="AC17" t="s">
        <v>69</v>
      </c>
      <c r="AZ17" s="18"/>
      <c r="BA17" s="19"/>
      <c r="BB17" s="18"/>
    </row>
    <row r="18" spans="1:54" x14ac:dyDescent="0.4">
      <c r="A18" s="1">
        <v>45986</v>
      </c>
      <c r="B18">
        <v>0.30423539039701897</v>
      </c>
      <c r="C18" s="45">
        <v>0</v>
      </c>
      <c r="D18" s="45">
        <v>0.85</v>
      </c>
      <c r="E18">
        <v>0.24</v>
      </c>
      <c r="F18">
        <v>6.4235390397018977E-2</v>
      </c>
      <c r="G18">
        <v>0.54423539039701896</v>
      </c>
      <c r="I18" s="1" t="s">
        <v>117</v>
      </c>
      <c r="L18" t="s">
        <v>58</v>
      </c>
      <c r="M18" t="s">
        <v>59</v>
      </c>
      <c r="N18" t="s">
        <v>60</v>
      </c>
      <c r="O18" t="s">
        <v>55</v>
      </c>
      <c r="P18" t="s">
        <v>138</v>
      </c>
      <c r="Q18" t="s">
        <v>65</v>
      </c>
      <c r="R18" t="s">
        <v>64</v>
      </c>
      <c r="S18" t="s">
        <v>71</v>
      </c>
      <c r="T18" t="s">
        <v>70</v>
      </c>
      <c r="U18" t="s">
        <v>74</v>
      </c>
      <c r="V18" t="s">
        <v>68</v>
      </c>
      <c r="W18" t="s">
        <v>73</v>
      </c>
      <c r="X18" t="s">
        <v>72</v>
      </c>
      <c r="Y18" t="s">
        <v>66</v>
      </c>
      <c r="Z18" t="s">
        <v>62</v>
      </c>
      <c r="AA18" t="s">
        <v>63</v>
      </c>
      <c r="AB18" t="s">
        <v>67</v>
      </c>
      <c r="AC18" t="s">
        <v>69</v>
      </c>
      <c r="AZ18" s="18"/>
      <c r="BA18" s="19"/>
      <c r="BB18" s="18"/>
    </row>
    <row r="19" spans="1:54" x14ac:dyDescent="0.4">
      <c r="A19" s="1">
        <v>45986</v>
      </c>
      <c r="B19">
        <v>0.30423539039701897</v>
      </c>
      <c r="C19" s="45">
        <v>0</v>
      </c>
      <c r="D19" s="45">
        <v>0.51</v>
      </c>
      <c r="E19">
        <v>0.29831256938944589</v>
      </c>
      <c r="F19">
        <v>5.9228210075730758E-3</v>
      </c>
      <c r="G19">
        <v>0.60254795978646492</v>
      </c>
      <c r="I19" s="1">
        <v>45986</v>
      </c>
      <c r="J19">
        <v>0.30423539039701897</v>
      </c>
      <c r="L19">
        <v>0</v>
      </c>
      <c r="M19">
        <v>0</v>
      </c>
      <c r="N19">
        <v>0</v>
      </c>
      <c r="O19">
        <v>0</v>
      </c>
      <c r="Q19">
        <v>0</v>
      </c>
      <c r="R19">
        <v>0</v>
      </c>
      <c r="S19">
        <v>0</v>
      </c>
      <c r="T19">
        <v>0</v>
      </c>
      <c r="U19">
        <v>0</v>
      </c>
      <c r="V19">
        <v>0</v>
      </c>
      <c r="W19">
        <v>0</v>
      </c>
      <c r="X19">
        <v>0</v>
      </c>
      <c r="Y19">
        <v>0</v>
      </c>
      <c r="Z19">
        <v>0</v>
      </c>
      <c r="AA19">
        <v>0</v>
      </c>
      <c r="AB19">
        <v>0</v>
      </c>
      <c r="AC19">
        <v>0</v>
      </c>
      <c r="AZ19" s="18"/>
      <c r="BA19" s="19"/>
      <c r="BB19" s="18"/>
    </row>
    <row r="20" spans="1:54" x14ac:dyDescent="0.4">
      <c r="A20" s="1">
        <v>45986</v>
      </c>
      <c r="B20">
        <v>0.30423539039701897</v>
      </c>
      <c r="C20" s="45">
        <v>0</v>
      </c>
      <c r="D20" s="45">
        <v>0.51</v>
      </c>
      <c r="E20">
        <v>0.29831256938944589</v>
      </c>
      <c r="F20">
        <v>5.9228210075730758E-3</v>
      </c>
      <c r="G20">
        <v>0.60254795978646492</v>
      </c>
      <c r="I20" t="s">
        <v>117</v>
      </c>
      <c r="L20" t="s">
        <v>58</v>
      </c>
      <c r="M20" t="s">
        <v>59</v>
      </c>
      <c r="N20" t="s">
        <v>60</v>
      </c>
      <c r="O20" t="s">
        <v>55</v>
      </c>
      <c r="P20" t="s">
        <v>140</v>
      </c>
      <c r="Q20" t="s">
        <v>65</v>
      </c>
      <c r="R20" t="s">
        <v>64</v>
      </c>
      <c r="S20" t="s">
        <v>71</v>
      </c>
      <c r="T20" t="s">
        <v>70</v>
      </c>
      <c r="U20" t="s">
        <v>74</v>
      </c>
      <c r="V20" t="s">
        <v>68</v>
      </c>
      <c r="W20" t="s">
        <v>73</v>
      </c>
      <c r="X20" t="s">
        <v>72</v>
      </c>
      <c r="Y20" t="s">
        <v>66</v>
      </c>
      <c r="Z20" t="s">
        <v>62</v>
      </c>
      <c r="AA20" t="s">
        <v>63</v>
      </c>
      <c r="AB20" t="s">
        <v>67</v>
      </c>
      <c r="AC20" t="s">
        <v>69</v>
      </c>
      <c r="AZ20" s="18"/>
      <c r="BA20" s="19"/>
      <c r="BB20" s="18"/>
    </row>
    <row r="21" spans="1:54" x14ac:dyDescent="0.4">
      <c r="A21" s="1">
        <v>45986</v>
      </c>
      <c r="B21">
        <v>0.30423539039701897</v>
      </c>
      <c r="C21" s="45">
        <v>0</v>
      </c>
      <c r="D21" s="45">
        <v>0.51</v>
      </c>
      <c r="E21">
        <v>0.29831256938944589</v>
      </c>
      <c r="F21">
        <v>5.9228210075730758E-3</v>
      </c>
      <c r="G21">
        <v>0.60254795978646492</v>
      </c>
      <c r="I21" s="1">
        <v>45986</v>
      </c>
      <c r="J21">
        <v>0.30423539039701897</v>
      </c>
      <c r="L21">
        <v>0</v>
      </c>
      <c r="M21">
        <v>0</v>
      </c>
      <c r="N21">
        <v>0</v>
      </c>
      <c r="O21">
        <v>0</v>
      </c>
      <c r="Q21">
        <v>0</v>
      </c>
      <c r="R21">
        <v>0</v>
      </c>
      <c r="S21">
        <v>0</v>
      </c>
      <c r="T21">
        <v>0</v>
      </c>
      <c r="U21">
        <v>0</v>
      </c>
      <c r="V21">
        <v>0</v>
      </c>
      <c r="W21">
        <v>0</v>
      </c>
      <c r="X21">
        <v>0</v>
      </c>
      <c r="Y21">
        <v>0</v>
      </c>
      <c r="Z21">
        <v>0</v>
      </c>
      <c r="AA21">
        <v>0</v>
      </c>
      <c r="AB21">
        <v>0</v>
      </c>
      <c r="AC21">
        <v>0</v>
      </c>
      <c r="AZ21" s="18"/>
      <c r="BA21" s="19"/>
      <c r="BB21" s="18"/>
    </row>
    <row r="22" spans="1:54" x14ac:dyDescent="0.4">
      <c r="A22" s="1">
        <v>45986</v>
      </c>
      <c r="B22">
        <v>0.30423539039701897</v>
      </c>
      <c r="C22" s="45">
        <v>0</v>
      </c>
      <c r="D22" s="45">
        <v>0.51</v>
      </c>
      <c r="E22">
        <v>0.29831256938944589</v>
      </c>
      <c r="F22">
        <v>5.9228210075730758E-3</v>
      </c>
      <c r="G22">
        <v>0.60254795978646492</v>
      </c>
      <c r="I22" s="1">
        <v>45986</v>
      </c>
      <c r="J22">
        <v>0.30423539039701897</v>
      </c>
      <c r="L22">
        <v>0</v>
      </c>
      <c r="M22">
        <v>0</v>
      </c>
      <c r="N22">
        <v>0</v>
      </c>
      <c r="O22">
        <v>0</v>
      </c>
      <c r="Q22">
        <v>0</v>
      </c>
      <c r="R22">
        <v>0</v>
      </c>
      <c r="S22">
        <v>0</v>
      </c>
      <c r="T22">
        <v>0</v>
      </c>
      <c r="U22">
        <v>0</v>
      </c>
      <c r="V22">
        <v>0</v>
      </c>
      <c r="W22">
        <v>0</v>
      </c>
      <c r="X22">
        <v>0</v>
      </c>
      <c r="Y22">
        <v>0</v>
      </c>
      <c r="Z22">
        <v>0</v>
      </c>
      <c r="AA22">
        <v>0</v>
      </c>
      <c r="AB22">
        <v>0</v>
      </c>
      <c r="AC22">
        <v>0</v>
      </c>
      <c r="AZ22" s="18"/>
      <c r="BA22" s="25" t="s">
        <v>100</v>
      </c>
      <c r="BB22" s="18"/>
    </row>
    <row r="23" spans="1:54" ht="17.149999999999999" x14ac:dyDescent="0.4">
      <c r="A23" s="1">
        <v>46009</v>
      </c>
      <c r="B23">
        <v>1.0878795103679406</v>
      </c>
      <c r="C23" s="45">
        <v>0</v>
      </c>
      <c r="D23" s="45">
        <v>0.88</v>
      </c>
      <c r="E23">
        <v>0.21</v>
      </c>
      <c r="F23">
        <v>0.87787951036794065</v>
      </c>
      <c r="G23">
        <v>1.2978795103679406</v>
      </c>
      <c r="I23" t="s">
        <v>117</v>
      </c>
      <c r="L23" t="s">
        <v>58</v>
      </c>
      <c r="M23" t="s">
        <v>59</v>
      </c>
      <c r="N23" t="s">
        <v>60</v>
      </c>
      <c r="O23" t="s">
        <v>55</v>
      </c>
      <c r="P23" t="s">
        <v>142</v>
      </c>
      <c r="Q23" t="s">
        <v>65</v>
      </c>
      <c r="R23" t="s">
        <v>64</v>
      </c>
      <c r="S23" t="s">
        <v>71</v>
      </c>
      <c r="T23" t="s">
        <v>70</v>
      </c>
      <c r="U23" t="s">
        <v>74</v>
      </c>
      <c r="V23" t="s">
        <v>68</v>
      </c>
      <c r="W23" t="s">
        <v>73</v>
      </c>
      <c r="X23" t="s">
        <v>72</v>
      </c>
      <c r="Y23" t="s">
        <v>66</v>
      </c>
      <c r="Z23" t="s">
        <v>62</v>
      </c>
      <c r="AA23" t="s">
        <v>63</v>
      </c>
      <c r="AB23" t="s">
        <v>67</v>
      </c>
      <c r="AC23" t="s">
        <v>69</v>
      </c>
      <c r="AZ23" s="18"/>
      <c r="BA23" s="84" t="s">
        <v>112</v>
      </c>
      <c r="BB23" s="18"/>
    </row>
    <row r="24" spans="1:54" x14ac:dyDescent="0.4">
      <c r="A24" s="1">
        <v>46009</v>
      </c>
      <c r="B24">
        <v>1.0878795103679406</v>
      </c>
      <c r="C24" s="45">
        <v>0</v>
      </c>
      <c r="D24" s="45">
        <v>0.88</v>
      </c>
      <c r="E24">
        <v>0.21</v>
      </c>
      <c r="F24">
        <v>0.87787951036794065</v>
      </c>
      <c r="G24">
        <v>1.2978795103679406</v>
      </c>
      <c r="I24" t="s">
        <v>117</v>
      </c>
      <c r="L24" t="s">
        <v>58</v>
      </c>
      <c r="M24" t="s">
        <v>59</v>
      </c>
      <c r="N24" t="s">
        <v>60</v>
      </c>
      <c r="O24" t="s">
        <v>55</v>
      </c>
      <c r="P24" t="s">
        <v>144</v>
      </c>
      <c r="Q24" t="s">
        <v>65</v>
      </c>
      <c r="R24" t="s">
        <v>64</v>
      </c>
      <c r="S24" t="s">
        <v>71</v>
      </c>
      <c r="T24" t="s">
        <v>70</v>
      </c>
      <c r="U24" t="s">
        <v>74</v>
      </c>
      <c r="V24" t="s">
        <v>68</v>
      </c>
      <c r="W24" t="s">
        <v>73</v>
      </c>
      <c r="X24" t="s">
        <v>72</v>
      </c>
      <c r="Y24" t="s">
        <v>66</v>
      </c>
      <c r="Z24" t="s">
        <v>62</v>
      </c>
      <c r="AA24" t="s">
        <v>63</v>
      </c>
      <c r="AB24" t="s">
        <v>67</v>
      </c>
      <c r="AC24" t="s">
        <v>69</v>
      </c>
      <c r="AZ24" s="18"/>
      <c r="BA24" s="18"/>
      <c r="BB24" s="18"/>
    </row>
    <row r="25" spans="1:54" x14ac:dyDescent="0.4">
      <c r="A25" s="1">
        <v>46009</v>
      </c>
      <c r="B25">
        <v>1.0878795103679406</v>
      </c>
      <c r="C25" s="45">
        <v>0</v>
      </c>
      <c r="D25" s="45">
        <v>0.88</v>
      </c>
      <c r="E25">
        <v>0.21</v>
      </c>
      <c r="F25">
        <v>0.87787951036794065</v>
      </c>
      <c r="G25">
        <v>1.2978795103679406</v>
      </c>
      <c r="I25" t="s">
        <v>117</v>
      </c>
      <c r="L25" t="s">
        <v>58</v>
      </c>
      <c r="M25" t="s">
        <v>59</v>
      </c>
      <c r="N25" t="s">
        <v>60</v>
      </c>
      <c r="O25" t="s">
        <v>55</v>
      </c>
      <c r="P25" t="s">
        <v>146</v>
      </c>
      <c r="Q25" t="s">
        <v>65</v>
      </c>
      <c r="R25" t="s">
        <v>64</v>
      </c>
      <c r="S25" t="s">
        <v>71</v>
      </c>
      <c r="T25" t="s">
        <v>70</v>
      </c>
      <c r="U25" t="s">
        <v>74</v>
      </c>
      <c r="V25" t="s">
        <v>68</v>
      </c>
      <c r="W25" t="s">
        <v>73</v>
      </c>
      <c r="X25" t="s">
        <v>72</v>
      </c>
      <c r="Y25" t="s">
        <v>66</v>
      </c>
      <c r="Z25" t="s">
        <v>62</v>
      </c>
      <c r="AA25" t="s">
        <v>63</v>
      </c>
      <c r="AB25" t="s">
        <v>67</v>
      </c>
      <c r="AC25" t="s">
        <v>69</v>
      </c>
    </row>
    <row r="26" spans="1:54" x14ac:dyDescent="0.4">
      <c r="A26" s="1">
        <v>46009</v>
      </c>
      <c r="B26">
        <v>1.0878795103679406</v>
      </c>
      <c r="C26" s="45">
        <v>0</v>
      </c>
      <c r="D26" s="45">
        <v>0.88</v>
      </c>
      <c r="E26">
        <v>0.21</v>
      </c>
      <c r="F26">
        <v>0.87787951036794065</v>
      </c>
      <c r="G26">
        <v>1.2978795103679406</v>
      </c>
      <c r="I26" t="s">
        <v>117</v>
      </c>
      <c r="L26" t="s">
        <v>58</v>
      </c>
      <c r="M26" t="s">
        <v>59</v>
      </c>
      <c r="N26" t="s">
        <v>60</v>
      </c>
      <c r="O26" t="s">
        <v>55</v>
      </c>
      <c r="P26" t="s">
        <v>148</v>
      </c>
      <c r="Q26" t="s">
        <v>65</v>
      </c>
      <c r="R26" t="s">
        <v>64</v>
      </c>
      <c r="S26" t="s">
        <v>71</v>
      </c>
      <c r="T26" t="s">
        <v>70</v>
      </c>
      <c r="U26" t="s">
        <v>74</v>
      </c>
      <c r="V26" t="s">
        <v>68</v>
      </c>
      <c r="W26" t="s">
        <v>73</v>
      </c>
      <c r="X26" t="s">
        <v>72</v>
      </c>
      <c r="Y26" t="s">
        <v>66</v>
      </c>
      <c r="Z26" t="s">
        <v>62</v>
      </c>
      <c r="AA26" t="s">
        <v>63</v>
      </c>
      <c r="AB26" t="s">
        <v>67</v>
      </c>
      <c r="AC26" t="s">
        <v>69</v>
      </c>
    </row>
    <row r="27" spans="1:54" x14ac:dyDescent="0.4">
      <c r="A27" s="1">
        <v>46009</v>
      </c>
      <c r="B27">
        <v>1.0878795103679406</v>
      </c>
      <c r="C27" s="45">
        <v>0</v>
      </c>
      <c r="D27" s="45">
        <v>0.88</v>
      </c>
      <c r="E27">
        <v>0.21</v>
      </c>
      <c r="F27">
        <v>0.87787951036794065</v>
      </c>
      <c r="G27">
        <v>1.2978795103679406</v>
      </c>
      <c r="I27" t="s">
        <v>117</v>
      </c>
      <c r="L27" t="s">
        <v>58</v>
      </c>
      <c r="M27" t="s">
        <v>59</v>
      </c>
      <c r="N27" t="s">
        <v>60</v>
      </c>
      <c r="O27" t="s">
        <v>55</v>
      </c>
      <c r="P27" t="s">
        <v>150</v>
      </c>
      <c r="Q27" t="s">
        <v>65</v>
      </c>
      <c r="R27" t="s">
        <v>64</v>
      </c>
      <c r="S27" t="s">
        <v>71</v>
      </c>
      <c r="T27" t="s">
        <v>70</v>
      </c>
      <c r="U27" t="s">
        <v>74</v>
      </c>
      <c r="V27" t="s">
        <v>68</v>
      </c>
      <c r="W27" t="s">
        <v>73</v>
      </c>
      <c r="X27" t="s">
        <v>72</v>
      </c>
      <c r="Y27" t="s">
        <v>66</v>
      </c>
      <c r="Z27" t="s">
        <v>62</v>
      </c>
      <c r="AA27" t="s">
        <v>63</v>
      </c>
      <c r="AB27" t="s">
        <v>67</v>
      </c>
      <c r="AC27" t="s">
        <v>69</v>
      </c>
    </row>
    <row r="28" spans="1:54" x14ac:dyDescent="0.4">
      <c r="A28" s="1">
        <v>46009</v>
      </c>
      <c r="B28">
        <v>1.0878795103679406</v>
      </c>
      <c r="C28" s="45">
        <v>0</v>
      </c>
      <c r="D28" s="45">
        <v>0.88</v>
      </c>
      <c r="E28">
        <v>0.21</v>
      </c>
      <c r="F28">
        <v>0.87787951036794065</v>
      </c>
      <c r="G28">
        <v>1.2978795103679406</v>
      </c>
      <c r="I28" t="s">
        <v>117</v>
      </c>
      <c r="L28" t="s">
        <v>58</v>
      </c>
      <c r="M28" t="s">
        <v>59</v>
      </c>
      <c r="N28" t="s">
        <v>60</v>
      </c>
      <c r="O28" t="s">
        <v>55</v>
      </c>
      <c r="P28" t="s">
        <v>152</v>
      </c>
      <c r="Q28" t="s">
        <v>65</v>
      </c>
      <c r="R28" t="s">
        <v>64</v>
      </c>
      <c r="S28" t="s">
        <v>71</v>
      </c>
      <c r="T28" t="s">
        <v>70</v>
      </c>
      <c r="U28" t="s">
        <v>74</v>
      </c>
      <c r="V28" t="s">
        <v>68</v>
      </c>
      <c r="W28" t="s">
        <v>73</v>
      </c>
      <c r="X28" t="s">
        <v>72</v>
      </c>
      <c r="Y28" t="s">
        <v>66</v>
      </c>
      <c r="Z28" t="s">
        <v>62</v>
      </c>
      <c r="AA28" t="s">
        <v>63</v>
      </c>
      <c r="AB28" t="s">
        <v>67</v>
      </c>
      <c r="AC28" t="s">
        <v>69</v>
      </c>
    </row>
    <row r="29" spans="1:54" x14ac:dyDescent="0.4">
      <c r="A29" s="1">
        <v>46009</v>
      </c>
      <c r="B29">
        <v>1.0878795103679406</v>
      </c>
      <c r="C29" s="45">
        <v>0</v>
      </c>
      <c r="D29" s="45">
        <v>0.88</v>
      </c>
      <c r="E29">
        <v>0.21</v>
      </c>
      <c r="F29">
        <v>0.87787951036794065</v>
      </c>
      <c r="G29">
        <v>1.2978795103679406</v>
      </c>
      <c r="I29" t="s">
        <v>117</v>
      </c>
      <c r="L29" t="s">
        <v>58</v>
      </c>
      <c r="M29" t="s">
        <v>59</v>
      </c>
      <c r="N29" t="s">
        <v>60</v>
      </c>
      <c r="O29" t="s">
        <v>55</v>
      </c>
      <c r="P29" t="s">
        <v>154</v>
      </c>
      <c r="Q29" t="s">
        <v>65</v>
      </c>
      <c r="R29" t="s">
        <v>64</v>
      </c>
      <c r="S29" t="s">
        <v>71</v>
      </c>
      <c r="T29" t="s">
        <v>70</v>
      </c>
      <c r="U29" t="s">
        <v>74</v>
      </c>
      <c r="V29" t="s">
        <v>68</v>
      </c>
      <c r="W29" t="s">
        <v>73</v>
      </c>
      <c r="X29" t="s">
        <v>72</v>
      </c>
      <c r="Y29" t="s">
        <v>66</v>
      </c>
      <c r="Z29" t="s">
        <v>62</v>
      </c>
      <c r="AA29" t="s">
        <v>63</v>
      </c>
      <c r="AB29" t="s">
        <v>67</v>
      </c>
      <c r="AC29" t="s">
        <v>69</v>
      </c>
    </row>
    <row r="30" spans="1:54" x14ac:dyDescent="0.4">
      <c r="A30" s="1">
        <v>46009</v>
      </c>
      <c r="B30">
        <v>1.0878795103679406</v>
      </c>
      <c r="C30" s="45">
        <v>0</v>
      </c>
      <c r="D30" s="45">
        <v>0.88</v>
      </c>
      <c r="E30">
        <v>0.21</v>
      </c>
      <c r="F30">
        <v>0.87787951036794065</v>
      </c>
      <c r="G30">
        <v>1.2978795103679406</v>
      </c>
      <c r="I30" t="s">
        <v>117</v>
      </c>
      <c r="L30" t="s">
        <v>58</v>
      </c>
      <c r="M30" t="s">
        <v>59</v>
      </c>
      <c r="N30" t="s">
        <v>60</v>
      </c>
      <c r="O30" t="s">
        <v>55</v>
      </c>
      <c r="P30" t="s">
        <v>156</v>
      </c>
      <c r="Q30" t="s">
        <v>65</v>
      </c>
      <c r="R30" t="s">
        <v>64</v>
      </c>
      <c r="S30" t="s">
        <v>71</v>
      </c>
      <c r="T30" t="s">
        <v>70</v>
      </c>
      <c r="U30" t="s">
        <v>74</v>
      </c>
      <c r="V30" t="s">
        <v>68</v>
      </c>
      <c r="W30" t="s">
        <v>73</v>
      </c>
      <c r="X30" t="s">
        <v>72</v>
      </c>
      <c r="Y30" t="s">
        <v>66</v>
      </c>
      <c r="Z30" t="s">
        <v>62</v>
      </c>
      <c r="AA30" t="s">
        <v>63</v>
      </c>
      <c r="AB30" t="s">
        <v>67</v>
      </c>
      <c r="AC30" t="s">
        <v>69</v>
      </c>
    </row>
    <row r="31" spans="1:54" x14ac:dyDescent="0.4">
      <c r="A31" s="1">
        <v>46009</v>
      </c>
      <c r="B31">
        <v>1.0878795103679406</v>
      </c>
      <c r="C31" s="45">
        <v>0</v>
      </c>
      <c r="D31" s="45">
        <v>0.88</v>
      </c>
      <c r="E31">
        <v>0.21</v>
      </c>
      <c r="F31">
        <v>0.87787951036794065</v>
      </c>
      <c r="G31">
        <v>1.2978795103679406</v>
      </c>
      <c r="I31" t="s">
        <v>117</v>
      </c>
      <c r="L31" t="s">
        <v>58</v>
      </c>
      <c r="M31" t="s">
        <v>59</v>
      </c>
      <c r="N31" t="s">
        <v>60</v>
      </c>
      <c r="O31" t="s">
        <v>55</v>
      </c>
      <c r="P31" t="s">
        <v>158</v>
      </c>
      <c r="Q31" t="s">
        <v>65</v>
      </c>
      <c r="R31" t="s">
        <v>64</v>
      </c>
      <c r="S31" t="s">
        <v>71</v>
      </c>
      <c r="T31" t="s">
        <v>70</v>
      </c>
      <c r="U31" t="s">
        <v>74</v>
      </c>
      <c r="V31" t="s">
        <v>68</v>
      </c>
      <c r="W31" t="s">
        <v>73</v>
      </c>
      <c r="X31" t="s">
        <v>72</v>
      </c>
      <c r="Y31" t="s">
        <v>66</v>
      </c>
      <c r="Z31" t="s">
        <v>62</v>
      </c>
      <c r="AA31" t="s">
        <v>63</v>
      </c>
      <c r="AB31" t="s">
        <v>67</v>
      </c>
      <c r="AC31" t="s">
        <v>69</v>
      </c>
    </row>
    <row r="32" spans="1:54" x14ac:dyDescent="0.4">
      <c r="A32" s="1">
        <v>46009</v>
      </c>
      <c r="B32">
        <v>1.0878795103679406</v>
      </c>
      <c r="C32" s="45">
        <v>0</v>
      </c>
      <c r="D32" s="45">
        <v>0.88</v>
      </c>
      <c r="E32">
        <v>0.21</v>
      </c>
      <c r="F32">
        <v>0.87787951036794065</v>
      </c>
      <c r="G32">
        <v>1.2978795103679406</v>
      </c>
      <c r="I32" t="s">
        <v>117</v>
      </c>
      <c r="L32" t="s">
        <v>58</v>
      </c>
      <c r="M32" t="s">
        <v>59</v>
      </c>
      <c r="N32" t="s">
        <v>60</v>
      </c>
      <c r="O32" t="s">
        <v>55</v>
      </c>
      <c r="P32" t="s">
        <v>160</v>
      </c>
      <c r="Q32" t="s">
        <v>65</v>
      </c>
      <c r="R32" t="s">
        <v>64</v>
      </c>
      <c r="S32" t="s">
        <v>71</v>
      </c>
      <c r="T32" t="s">
        <v>70</v>
      </c>
      <c r="U32" t="s">
        <v>74</v>
      </c>
      <c r="V32" t="s">
        <v>68</v>
      </c>
      <c r="W32" t="s">
        <v>73</v>
      </c>
      <c r="X32" t="s">
        <v>72</v>
      </c>
      <c r="Y32" t="s">
        <v>66</v>
      </c>
      <c r="Z32" t="s">
        <v>62</v>
      </c>
      <c r="AA32" t="s">
        <v>63</v>
      </c>
      <c r="AB32" t="s">
        <v>67</v>
      </c>
      <c r="AC32" t="s">
        <v>69</v>
      </c>
    </row>
    <row r="33" spans="1:29" x14ac:dyDescent="0.4">
      <c r="A33" s="1">
        <v>46009</v>
      </c>
      <c r="B33">
        <v>1.0878795103679406</v>
      </c>
      <c r="C33" s="45">
        <v>0</v>
      </c>
      <c r="D33" s="45">
        <v>0.32</v>
      </c>
      <c r="E33">
        <v>0.30540561670360467</v>
      </c>
      <c r="F33">
        <v>0.78247389366433595</v>
      </c>
      <c r="G33">
        <v>1.3932851270715454</v>
      </c>
      <c r="I33" t="s">
        <v>117</v>
      </c>
      <c r="L33" t="s">
        <v>58</v>
      </c>
      <c r="M33" t="s">
        <v>59</v>
      </c>
      <c r="N33" t="s">
        <v>60</v>
      </c>
      <c r="O33" t="s">
        <v>55</v>
      </c>
      <c r="P33" t="s">
        <v>162</v>
      </c>
      <c r="Q33" t="s">
        <v>65</v>
      </c>
      <c r="R33" t="s">
        <v>64</v>
      </c>
      <c r="S33" t="s">
        <v>71</v>
      </c>
      <c r="T33" t="s">
        <v>70</v>
      </c>
      <c r="U33" t="s">
        <v>74</v>
      </c>
      <c r="V33" t="s">
        <v>68</v>
      </c>
      <c r="W33" t="s">
        <v>73</v>
      </c>
      <c r="X33" t="s">
        <v>72</v>
      </c>
      <c r="Y33" t="s">
        <v>66</v>
      </c>
      <c r="Z33" t="s">
        <v>62</v>
      </c>
      <c r="AA33" t="s">
        <v>63</v>
      </c>
      <c r="AB33" t="s">
        <v>67</v>
      </c>
      <c r="AC33" t="s">
        <v>69</v>
      </c>
    </row>
    <row r="34" spans="1:29" x14ac:dyDescent="0.4">
      <c r="A34" s="1">
        <v>46009</v>
      </c>
      <c r="B34">
        <v>1.0878795103679406</v>
      </c>
      <c r="C34" s="45">
        <v>0</v>
      </c>
      <c r="D34" s="45">
        <v>0.88</v>
      </c>
      <c r="E34">
        <v>0.21</v>
      </c>
      <c r="F34">
        <v>0.87787951036794065</v>
      </c>
      <c r="G34">
        <v>1.2978795103679406</v>
      </c>
      <c r="I34" t="s">
        <v>117</v>
      </c>
      <c r="L34" t="s">
        <v>58</v>
      </c>
      <c r="M34" t="s">
        <v>59</v>
      </c>
      <c r="N34" t="s">
        <v>60</v>
      </c>
      <c r="O34" t="s">
        <v>55</v>
      </c>
      <c r="P34" t="s">
        <v>164</v>
      </c>
      <c r="Q34" t="s">
        <v>65</v>
      </c>
      <c r="R34" t="s">
        <v>64</v>
      </c>
      <c r="S34" t="s">
        <v>71</v>
      </c>
      <c r="T34" t="s">
        <v>70</v>
      </c>
      <c r="U34" t="s">
        <v>74</v>
      </c>
      <c r="V34" t="s">
        <v>68</v>
      </c>
      <c r="W34" t="s">
        <v>73</v>
      </c>
      <c r="X34" t="s">
        <v>72</v>
      </c>
      <c r="Y34" t="s">
        <v>66</v>
      </c>
      <c r="Z34" t="s">
        <v>62</v>
      </c>
      <c r="AA34" t="s">
        <v>63</v>
      </c>
      <c r="AB34" t="s">
        <v>67</v>
      </c>
      <c r="AC34" t="s">
        <v>69</v>
      </c>
    </row>
    <row r="35" spans="1:29" x14ac:dyDescent="0.4">
      <c r="A35" s="1">
        <v>46009</v>
      </c>
      <c r="B35">
        <v>0.58037448000514547</v>
      </c>
      <c r="C35" s="45">
        <v>0</v>
      </c>
      <c r="D35" s="45">
        <v>0.88</v>
      </c>
      <c r="E35">
        <v>0.21</v>
      </c>
      <c r="F35">
        <v>0.3703744800051455</v>
      </c>
      <c r="G35">
        <v>0.79037448000514543</v>
      </c>
      <c r="I35" t="s">
        <v>117</v>
      </c>
      <c r="L35" t="s">
        <v>58</v>
      </c>
      <c r="M35" t="s">
        <v>59</v>
      </c>
      <c r="N35" t="s">
        <v>55</v>
      </c>
      <c r="O35" t="s">
        <v>166</v>
      </c>
      <c r="P35" t="s">
        <v>65</v>
      </c>
      <c r="Q35" t="s">
        <v>64</v>
      </c>
      <c r="R35" t="s">
        <v>71</v>
      </c>
      <c r="S35" t="s">
        <v>70</v>
      </c>
    </row>
    <row r="36" spans="1:29" x14ac:dyDescent="0.4">
      <c r="A36" s="1">
        <v>46009</v>
      </c>
      <c r="B36">
        <v>0.30423539039701897</v>
      </c>
      <c r="C36" s="45">
        <v>0</v>
      </c>
      <c r="D36" s="45">
        <v>0.88</v>
      </c>
      <c r="E36">
        <v>0.21</v>
      </c>
      <c r="F36">
        <v>9.4235390397018975E-2</v>
      </c>
      <c r="G36">
        <v>0.51423539039701893</v>
      </c>
      <c r="I36" t="s">
        <v>117</v>
      </c>
      <c r="L36" t="s">
        <v>58</v>
      </c>
      <c r="M36" t="s">
        <v>59</v>
      </c>
      <c r="N36" t="s">
        <v>60</v>
      </c>
      <c r="O36" t="s">
        <v>55</v>
      </c>
      <c r="P36" t="s">
        <v>168</v>
      </c>
      <c r="Q36" t="s">
        <v>65</v>
      </c>
      <c r="R36" t="s">
        <v>64</v>
      </c>
      <c r="S36" t="s">
        <v>71</v>
      </c>
      <c r="T36" t="s">
        <v>70</v>
      </c>
      <c r="U36" t="s">
        <v>74</v>
      </c>
      <c r="V36" t="s">
        <v>68</v>
      </c>
      <c r="W36" t="s">
        <v>73</v>
      </c>
      <c r="X36" t="s">
        <v>72</v>
      </c>
      <c r="Y36" t="s">
        <v>66</v>
      </c>
      <c r="Z36" t="s">
        <v>62</v>
      </c>
      <c r="AA36" t="s">
        <v>63</v>
      </c>
      <c r="AB36" t="s">
        <v>67</v>
      </c>
      <c r="AC36" t="s">
        <v>69</v>
      </c>
    </row>
    <row r="37" spans="1:29" x14ac:dyDescent="0.4">
      <c r="A37" s="1">
        <v>46009</v>
      </c>
      <c r="B37">
        <v>0.61434105290898844</v>
      </c>
      <c r="C37" s="45">
        <v>0</v>
      </c>
      <c r="D37" s="45">
        <v>0.88</v>
      </c>
      <c r="E37">
        <v>0.21</v>
      </c>
      <c r="F37">
        <v>0.40434105290898847</v>
      </c>
      <c r="G37">
        <v>0.8243410529089884</v>
      </c>
      <c r="I37" t="s">
        <v>117</v>
      </c>
      <c r="L37" t="s">
        <v>58</v>
      </c>
      <c r="M37" t="s">
        <v>59</v>
      </c>
      <c r="N37" t="s">
        <v>60</v>
      </c>
      <c r="O37" t="s">
        <v>55</v>
      </c>
      <c r="P37" t="s">
        <v>171</v>
      </c>
      <c r="Q37" t="s">
        <v>65</v>
      </c>
      <c r="R37" t="s">
        <v>64</v>
      </c>
      <c r="S37" t="s">
        <v>71</v>
      </c>
      <c r="T37" t="s">
        <v>70</v>
      </c>
      <c r="U37" t="s">
        <v>74</v>
      </c>
      <c r="V37" t="s">
        <v>68</v>
      </c>
      <c r="W37" t="s">
        <v>73</v>
      </c>
      <c r="X37" t="s">
        <v>72</v>
      </c>
      <c r="Y37" t="s">
        <v>66</v>
      </c>
      <c r="Z37" t="s">
        <v>62</v>
      </c>
      <c r="AA37" t="s">
        <v>63</v>
      </c>
      <c r="AB37" t="s">
        <v>67</v>
      </c>
      <c r="AC37" t="s">
        <v>69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Main</vt:lpstr>
      <vt:lpstr>Heatmap</vt:lpstr>
      <vt:lpstr>Range</vt:lpstr>
      <vt:lpstr>Contributions</vt:lpstr>
      <vt:lpstr>2023Q3</vt:lpstr>
      <vt:lpstr>2023Q4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2025-12-18T20:18:14Z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{2DF82794-2BAC-4049-A18F-ED3C446B3682}</vt:lpwstr>
  </property>
  <property fmtid="{D5CDD505-2E9C-101B-9397-08002B2CF9AE}" pid="3" name="MSIP_Label_ad9ed4cf-0835-41f5-8787-3905daafc7d0_Enabled">
    <vt:lpwstr>true</vt:lpwstr>
  </property>
  <property fmtid="{D5CDD505-2E9C-101B-9397-08002B2CF9AE}" pid="4" name="MSIP_Label_ad9ed4cf-0835-41f5-8787-3905daafc7d0_SetDate">
    <vt:lpwstr>2024-09-11T14:12:58Z</vt:lpwstr>
  </property>
  <property fmtid="{D5CDD505-2E9C-101B-9397-08002B2CF9AE}" pid="5" name="MSIP_Label_ad9ed4cf-0835-41f5-8787-3905daafc7d0_Method">
    <vt:lpwstr>Privileged</vt:lpwstr>
  </property>
  <property fmtid="{D5CDD505-2E9C-101B-9397-08002B2CF9AE}" pid="6" name="MSIP_Label_ad9ed4cf-0835-41f5-8787-3905daafc7d0_Name">
    <vt:lpwstr>NON-BUSINESS</vt:lpwstr>
  </property>
  <property fmtid="{D5CDD505-2E9C-101B-9397-08002B2CF9AE}" pid="7" name="MSIP_Label_ad9ed4cf-0835-41f5-8787-3905daafc7d0_SiteId">
    <vt:lpwstr>b84ee435-4816-49d2-8d92-e740dbda4064</vt:lpwstr>
  </property>
  <property fmtid="{D5CDD505-2E9C-101B-9397-08002B2CF9AE}" pid="8" name="MSIP_Label_ad9ed4cf-0835-41f5-8787-3905daafc7d0_ActionId">
    <vt:lpwstr>7fbb117f-062f-408a-a630-cacb3b21ad17</vt:lpwstr>
  </property>
  <property fmtid="{D5CDD505-2E9C-101B-9397-08002B2CF9AE}" pid="9" name="MSIP_Label_ad9ed4cf-0835-41f5-8787-3905daafc7d0_ContentBits">
    <vt:lpwstr>0</vt:lpwstr>
  </property>
</Properties>
</file>